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6c2cc58af3f605/Documents/DataAnalyticsFolder/Data-Week1/"/>
    </mc:Choice>
  </mc:AlternateContent>
  <xr:revisionPtr revIDLastSave="0" documentId="14_{F93C3067-3E86-41AB-AD30-5B70925A3A5E}" xr6:coauthVersionLast="47" xr6:coauthVersionMax="47" xr10:uidLastSave="{00000000-0000-0000-0000-000000000000}"/>
  <bookViews>
    <workbookView xWindow="-90" yWindow="0" windowWidth="25780" windowHeight="20970" activeTab="3" xr2:uid="{F6DCEF2C-61BC-40D1-A867-BD577A37BE9D}"/>
  </bookViews>
  <sheets>
    <sheet name="Sales region lookup (2)" sheetId="5" r:id="rId1"/>
    <sheet name="By search name" sheetId="2" r:id="rId2"/>
    <sheet name="By state" sheetId="3" r:id="rId3"/>
    <sheet name="Sales region lookup" sheetId="4" r:id="rId4"/>
  </sheets>
  <calcPr calcId="191029"/>
  <pivotCaches>
    <pivotCache cacheId="10" r:id="rId5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11" i="5" l="1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D2" i="5"/>
  <c r="C2" i="5"/>
</calcChain>
</file>

<file path=xl/sharedStrings.xml><?xml version="1.0" encoding="utf-8"?>
<sst xmlns="http://purl.oclc.org/ooxml/spreadsheetml/main" count="152" uniqueCount="68">
  <si>
    <t>Region</t>
  </si>
  <si>
    <t>South Carolina</t>
  </si>
  <si>
    <t>North Carolina</t>
  </si>
  <si>
    <t>Kentucky</t>
  </si>
  <si>
    <t>Alabama</t>
  </si>
  <si>
    <t>Tennessee</t>
  </si>
  <si>
    <t>Indiana</t>
  </si>
  <si>
    <t>Utah</t>
  </si>
  <si>
    <t>Rhode Island</t>
  </si>
  <si>
    <t>Georgia</t>
  </si>
  <si>
    <t>Pennsylvania</t>
  </si>
  <si>
    <t>Ohio</t>
  </si>
  <si>
    <t>Illinois</t>
  </si>
  <si>
    <t>Oklahoma</t>
  </si>
  <si>
    <t>West Virginia</t>
  </si>
  <si>
    <t>Michigan</t>
  </si>
  <si>
    <t>Arkansas</t>
  </si>
  <si>
    <t>Virginia</t>
  </si>
  <si>
    <t>Florida</t>
  </si>
  <si>
    <t>Connecticut</t>
  </si>
  <si>
    <t>Missouri</t>
  </si>
  <si>
    <t>Nevada</t>
  </si>
  <si>
    <t>New Jersey</t>
  </si>
  <si>
    <t>Maryland</t>
  </si>
  <si>
    <t>Delaware</t>
  </si>
  <si>
    <t>Mississippi</t>
  </si>
  <si>
    <t>Louisiana</t>
  </si>
  <si>
    <t>Idaho</t>
  </si>
  <si>
    <t>Kansas</t>
  </si>
  <si>
    <t>Arizona</t>
  </si>
  <si>
    <t>Wisconsin</t>
  </si>
  <si>
    <t>Texas</t>
  </si>
  <si>
    <t>Iowa</t>
  </si>
  <si>
    <t>Minnesota</t>
  </si>
  <si>
    <t>California</t>
  </si>
  <si>
    <t>North Dakota</t>
  </si>
  <si>
    <t>Nebraska</t>
  </si>
  <si>
    <t>Oregon</t>
  </si>
  <si>
    <t>Colorado</t>
  </si>
  <si>
    <t>New York</t>
  </si>
  <si>
    <t>Washington</t>
  </si>
  <si>
    <t>New Hampshire</t>
  </si>
  <si>
    <t>Massachusetts</t>
  </si>
  <si>
    <t>New Mexico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</si>
  <si>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</si>
  <si>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</si>
  <si>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</si>
  <si>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</si>
  <si>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</si>
  <si>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</si>
  <si>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</si>
  <si>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</si>
  <si>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RegionID</t>
  </si>
  <si>
    <t>"Data Range"</t>
  </si>
  <si>
    <t>Hamburger: ()</t>
  </si>
  <si>
    <t>Milkshake: ()</t>
  </si>
  <si>
    <t>Breakup: ()</t>
  </si>
  <si>
    <t>State</t>
  </si>
  <si>
    <t>Sales Region</t>
  </si>
  <si>
    <t>Northwest</t>
  </si>
  <si>
    <t>North Central</t>
  </si>
  <si>
    <t>Hamburger</t>
  </si>
  <si>
    <t>Milkshake</t>
  </si>
  <si>
    <t>Sum of Milkshake</t>
  </si>
  <si>
    <t>Row Labels</t>
  </si>
  <si>
    <t>Grand Total</t>
  </si>
  <si>
    <t>Sum of Hamburger</t>
  </si>
  <si>
    <t>(All)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</si>
</sst>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0" borderId="0" xfId="0" applyAlignment="1">
      <alignment horizontal="left" vertical="top"/>
    </xf>
    <xf numFmtId="0" fontId="0" fillId="34" borderId="0" xfId="0" applyFill="1"/>
    <xf numFmtId="0" fontId="0" fillId="0" borderId="0" xfId="0" applyFill="1" applyAlignment="1">
      <alignment wrapText="1"/>
    </xf>
    <xf numFmtId="0" fontId="0" fillId="0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pivotCacheDefinition" Target="pivotCache/pivotCacheDefinition1.xml"/><Relationship Id="rId4" Type="http://purl.oclc.org/ooxml/officeDocument/relationships/worksheet" Target="worksheets/sheet4.xml"/><Relationship Id="rId9" Type="http://purl.oclc.org/ooxml/officeDocument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[Ex4C_GTrends.xlsx]Sales region lookup!PivotTable3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lookup'!$B$3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lookup'!$A$4:$A$14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lookup'!$B$4:$B$14</c:f>
              <c:numCache>
                <c:formatCode>0%</c:formatCode>
                <c:ptCount val="10"/>
                <c:pt idx="0">
                  <c:v>0.66</c:v>
                </c:pt>
                <c:pt idx="1">
                  <c:v>0.65</c:v>
                </c:pt>
                <c:pt idx="2">
                  <c:v>0.67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0.69</c:v>
                </c:pt>
                <c:pt idx="7">
                  <c:v>0.75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D-4E01-9F78-EBD102B0B5EA}"/>
            </c:ext>
          </c:extLst>
        </c:ser>
        <c:ser>
          <c:idx val="1"/>
          <c:order val="1"/>
          <c:tx>
            <c:strRef>
              <c:f>'Sales region lookup'!$C$3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lookup'!$A$4:$A$14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lookup'!$C$4:$C$14</c:f>
              <c:numCache>
                <c:formatCode>0%</c:formatCode>
                <c:ptCount val="10"/>
                <c:pt idx="0">
                  <c:v>0.2</c:v>
                </c:pt>
                <c:pt idx="1">
                  <c:v>0.21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1D-4E01-9F78-EBD102B0B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485696"/>
        <c:axId val="280719568"/>
      </c:barChart>
      <c:catAx>
        <c:axId val="70148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719568"/>
        <c:crosses val="autoZero"/>
        <c:auto val="1"/>
        <c:lblAlgn val="ctr"/>
        <c:lblOffset val="100"/>
        <c:noMultiLvlLbl val="0"/>
      </c:catAx>
      <c:valAx>
        <c:axId val="28071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48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9794124441556"/>
          <c:y val="0.76098612337134985"/>
          <c:w val="0.20403152738677427"/>
          <c:h val="0.234187493379471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4</xdr:col>
      <xdr:colOff>9524</xdr:colOff>
      <xdr:row>0</xdr:row>
      <xdr:rowOff>66674</xdr:rowOff>
    </xdr:from>
    <xdr:to>
      <xdr:col>13</xdr:col>
      <xdr:colOff>196849</xdr:colOff>
      <xdr:row>19</xdr:row>
      <xdr:rowOff>107949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640835-5B9D-F43C-5F2C-F723A4155A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earl lacerna" refreshedDateIso="2026-10-16T17:25:23.06999978609383200" createdVersion="8" refreshedVersion="8" minRefreshableVersion="3" recordCount="10" xr:uid="{13E95924-CB98-404C-926F-8CB554613F6A}">
  <cacheSource type="worksheet">
    <worksheetSource ref="A1:D11" sheet="Sales region lookup (2)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5" maxValue="0.75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0">
  <r>
    <x v="0"/>
    <x v="0"/>
    <n v="0.67"/>
    <n v="0.18"/>
  </r>
  <r>
    <x v="1"/>
    <x v="0"/>
    <n v="0.69"/>
    <n v="0.18"/>
  </r>
  <r>
    <x v="2"/>
    <x v="0"/>
    <n v="0.66"/>
    <n v="0.2"/>
  </r>
  <r>
    <x v="3"/>
    <x v="0"/>
    <n v="0.75"/>
    <n v="0.14000000000000001"/>
  </r>
  <r>
    <x v="4"/>
    <x v="1"/>
    <n v="0.69"/>
    <n v="0.19"/>
  </r>
  <r>
    <x v="5"/>
    <x v="1"/>
    <n v="0.75"/>
    <n v="0.14000000000000001"/>
  </r>
  <r>
    <x v="6"/>
    <x v="1"/>
    <n v="0.69"/>
    <n v="0.17"/>
  </r>
  <r>
    <x v="7"/>
    <x v="1"/>
    <n v="0.67"/>
    <n v="0.19"/>
  </r>
  <r>
    <x v="8"/>
    <x v="1"/>
    <n v="0.66"/>
    <n v="0.2"/>
  </r>
  <r>
    <x v="9"/>
    <x v="1"/>
    <n v="0.65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A869BE51-ECCC-48A8-90E6-8109381C45CB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4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purl.oclc.org/ooxml/officeDocument/relationships/drawing" Target="../drawings/drawing1.xml"/><Relationship Id="rId2" Type="http://purl.oclc.org/ooxml/officeDocument/relationships/printerSettings" Target="../printerSettings/printerSettings2.bin"/><Relationship Id="rId1" Type="http://purl.oclc.org/ooxml/officeDocument/relationships/pivotTable" Target="../pivotTables/pivot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76A00-9AC1-476A-8141-31483E32D1FF}">
  <dimension ref="A1:D11"/>
  <sheetViews>
    <sheetView workbookViewId="0">
      <selection activeCell="D1" sqref="D1"/>
    </sheetView>
  </sheetViews>
  <sheetFormatPr defaultRowHeight="14.5" x14ac:dyDescent="0.35"/>
  <cols>
    <col min="1" max="1" width="12.7265625" customWidth="1"/>
    <col min="2" max="2" width="12.54296875" customWidth="1"/>
    <col min="3" max="3" width="11.81640625" customWidth="1"/>
    <col min="4" max="4" width="11" customWidth="1"/>
    <col min="5" max="6" width="13.81640625" customWidth="1"/>
  </cols>
  <sheetData>
    <row r="1" spans="1:4" ht="13.5" customHeight="1" x14ac:dyDescent="0.35">
      <c r="A1" t="s">
        <v>57</v>
      </c>
      <c r="B1" t="s">
        <v>58</v>
      </c>
      <c r="C1" t="s">
        <v>61</v>
      </c>
      <c r="D1" t="s">
        <v>62</v>
      </c>
    </row>
    <row r="2" spans="1:4" x14ac:dyDescent="0.35">
      <c r="A2" s="5" t="s">
        <v>40</v>
      </c>
      <c r="B2" s="4" t="s">
        <v>59</v>
      </c>
      <c r="C2" s="7">
        <f>VLOOKUP('Sales region lookup (2)'!A2,'By search name'!B:C,2,FALSE)</f>
        <v>0.67</v>
      </c>
      <c r="D2" s="7">
        <f>_xlfn.XLOOKUP(A2, 'By search name'!B1:B52, 'By search name'!D1:D52, "not found")</f>
        <v>0.18</v>
      </c>
    </row>
    <row r="3" spans="1:4" x14ac:dyDescent="0.35">
      <c r="A3" s="6" t="s">
        <v>37</v>
      </c>
      <c r="B3" s="4" t="s">
        <v>59</v>
      </c>
      <c r="C3" s="7">
        <f>VLOOKUP('Sales region lookup (2)'!A3,'By search name'!B:C,2,FALSE)</f>
        <v>0.69</v>
      </c>
      <c r="D3" s="7">
        <f>_xlfn.XLOOKUP(A3, 'By search name'!B2:B53, 'By search name'!D2:D53, "not found")</f>
        <v>0.18</v>
      </c>
    </row>
    <row r="4" spans="1:4" x14ac:dyDescent="0.35">
      <c r="A4" s="6" t="s">
        <v>27</v>
      </c>
      <c r="B4" s="6" t="s">
        <v>59</v>
      </c>
      <c r="C4" s="7">
        <f>VLOOKUP('Sales region lookup (2)'!A4,'By search name'!B:C,2,FALSE)</f>
        <v>0.66</v>
      </c>
      <c r="D4" s="7">
        <f>_xlfn.XLOOKUP(A4, 'By search name'!B3:B54, 'By search name'!D3:D54, "not found")</f>
        <v>0.2</v>
      </c>
    </row>
    <row r="5" spans="1:4" x14ac:dyDescent="0.35">
      <c r="A5" s="6" t="s">
        <v>48</v>
      </c>
      <c r="B5" s="6" t="s">
        <v>59</v>
      </c>
      <c r="C5" s="7">
        <f>VLOOKUP('Sales region lookup (2)'!A5,'By search name'!B:C,2,FALSE)</f>
        <v>0.75</v>
      </c>
      <c r="D5" s="7">
        <f>_xlfn.XLOOKUP(A5, 'By search name'!B4:B55, 'By search name'!D4:D55, "not found")</f>
        <v>0.14000000000000001</v>
      </c>
    </row>
    <row r="6" spans="1:4" ht="15.5" customHeight="1" x14ac:dyDescent="0.35">
      <c r="A6" t="s">
        <v>35</v>
      </c>
      <c r="B6" s="6" t="s">
        <v>60</v>
      </c>
      <c r="C6" s="7">
        <f>VLOOKUP('Sales region lookup (2)'!A6,'By search name'!B:C,2,FALSE)</f>
        <v>0.69</v>
      </c>
      <c r="D6" s="7">
        <f>_xlfn.XLOOKUP(A6, 'By search name'!B5:B56, 'By search name'!D5:D56, "not found")</f>
        <v>0.19</v>
      </c>
    </row>
    <row r="7" spans="1:4" x14ac:dyDescent="0.35">
      <c r="A7" t="s">
        <v>44</v>
      </c>
      <c r="B7" s="6" t="s">
        <v>60</v>
      </c>
      <c r="C7" s="7">
        <f>VLOOKUP('Sales region lookup (2)'!A7,'By search name'!B:C,2,FALSE)</f>
        <v>0.75</v>
      </c>
      <c r="D7" s="7">
        <f>_xlfn.XLOOKUP(A7, 'By search name'!B6:B57, 'By search name'!D6:D57, "not found")</f>
        <v>0.14000000000000001</v>
      </c>
    </row>
    <row r="8" spans="1:4" x14ac:dyDescent="0.35">
      <c r="A8" t="s">
        <v>36</v>
      </c>
      <c r="B8" s="6" t="s">
        <v>60</v>
      </c>
      <c r="C8" s="7">
        <f>VLOOKUP('Sales region lookup (2)'!A8,'By search name'!B:C,2,FALSE)</f>
        <v>0.69</v>
      </c>
      <c r="D8" s="7">
        <f>_xlfn.XLOOKUP(A8, 'By search name'!B7:B58, 'By search name'!D7:D58, "not found")</f>
        <v>0.17</v>
      </c>
    </row>
    <row r="9" spans="1:4" x14ac:dyDescent="0.35">
      <c r="A9" t="s">
        <v>33</v>
      </c>
      <c r="B9" s="6" t="s">
        <v>60</v>
      </c>
      <c r="C9" s="7">
        <f>VLOOKUP('Sales region lookup (2)'!A9,'By search name'!B:C,2,FALSE)</f>
        <v>0.67</v>
      </c>
      <c r="D9" s="7">
        <f>_xlfn.XLOOKUP(A9, 'By search name'!B8:B59, 'By search name'!D8:D59, "not found")</f>
        <v>0.19</v>
      </c>
    </row>
    <row r="10" spans="1:4" x14ac:dyDescent="0.35">
      <c r="A10" t="s">
        <v>30</v>
      </c>
      <c r="B10" s="6" t="s">
        <v>60</v>
      </c>
      <c r="C10" s="7">
        <f>VLOOKUP('Sales region lookup (2)'!A10,'By search name'!B:C,2,FALSE)</f>
        <v>0.66</v>
      </c>
      <c r="D10" s="7">
        <f>_xlfn.XLOOKUP(A10, 'By search name'!B9:B60, 'By search name'!D9:D60, "not found")</f>
        <v>0.2</v>
      </c>
    </row>
    <row r="11" spans="1:4" x14ac:dyDescent="0.35">
      <c r="A11" t="s">
        <v>15</v>
      </c>
      <c r="B11" s="6" t="s">
        <v>60</v>
      </c>
      <c r="C11" s="7">
        <f>VLOOKUP('Sales region lookup (2)'!A11,'By search name'!B:C,2,FALSE)</f>
        <v>0.65</v>
      </c>
      <c r="D11" s="7">
        <f>_xlfn.XLOOKUP(A11, 'By search name'!B10:B61, 'By search name'!D10:D61, "not found")</f>
        <v>0.21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A86B-DF84-45F0-A442-D989C6363245}">
  <dimension ref="A1:J52"/>
  <sheetViews>
    <sheetView workbookViewId="0">
      <selection activeCell="H42" sqref="H42"/>
    </sheetView>
  </sheetViews>
  <sheetFormatPr defaultRowHeight="14.5" x14ac:dyDescent="0.35"/>
  <cols>
    <col min="1" max="1" width="11.81640625" customWidth="1"/>
    <col min="2" max="2" width="18.54296875" customWidth="1"/>
    <col min="3" max="3" width="13.453125" customWidth="1"/>
    <col min="4" max="4" width="15.08984375" customWidth="1"/>
    <col min="5" max="5" width="10.08984375" customWidth="1"/>
    <col min="10" max="10" width="12" customWidth="1"/>
    <col min="11" max="11" width="14.26953125" customWidth="1"/>
  </cols>
  <sheetData>
    <row r="1" spans="1:10" x14ac:dyDescent="0.35">
      <c r="A1" t="s">
        <v>52</v>
      </c>
      <c r="B1" t="s">
        <v>0</v>
      </c>
      <c r="C1" t="s">
        <v>54</v>
      </c>
      <c r="D1" t="s">
        <v>55</v>
      </c>
      <c r="E1" t="s">
        <v>56</v>
      </c>
      <c r="F1" s="2"/>
      <c r="G1" s="2"/>
      <c r="J1" t="s">
        <v>53</v>
      </c>
    </row>
    <row r="2" spans="1:10" x14ac:dyDescent="0.35">
      <c r="A2" s="3">
        <v>1</v>
      </c>
      <c r="B2" t="s">
        <v>4</v>
      </c>
      <c r="C2" s="1">
        <v>0.65</v>
      </c>
      <c r="D2" s="1">
        <v>0.23</v>
      </c>
      <c r="E2" s="1">
        <v>0.12</v>
      </c>
    </row>
    <row r="3" spans="1:10" x14ac:dyDescent="0.35">
      <c r="A3" s="3">
        <v>2</v>
      </c>
      <c r="B3" t="s">
        <v>49</v>
      </c>
      <c r="C3" s="1">
        <v>0.71</v>
      </c>
      <c r="D3" s="1">
        <v>0.15</v>
      </c>
      <c r="E3" s="1">
        <v>0.14000000000000001</v>
      </c>
    </row>
    <row r="4" spans="1:10" x14ac:dyDescent="0.35">
      <c r="A4" s="3">
        <v>3</v>
      </c>
      <c r="B4" t="s">
        <v>29</v>
      </c>
      <c r="C4" s="1">
        <v>0.66</v>
      </c>
      <c r="D4" s="1">
        <v>0.2</v>
      </c>
      <c r="E4" s="1">
        <v>0.14000000000000001</v>
      </c>
    </row>
    <row r="5" spans="1:10" x14ac:dyDescent="0.35">
      <c r="A5" s="3">
        <v>4</v>
      </c>
      <c r="B5" t="s">
        <v>16</v>
      </c>
      <c r="C5" s="1">
        <v>0.66</v>
      </c>
      <c r="D5" s="1">
        <v>0.21</v>
      </c>
      <c r="E5" s="1">
        <v>0.13</v>
      </c>
    </row>
    <row r="6" spans="1:10" x14ac:dyDescent="0.35">
      <c r="A6" s="3">
        <v>5</v>
      </c>
      <c r="B6" t="s">
        <v>34</v>
      </c>
      <c r="C6" s="1">
        <v>0.65</v>
      </c>
      <c r="D6" s="1">
        <v>0.2</v>
      </c>
      <c r="E6" s="1">
        <v>0.15</v>
      </c>
    </row>
    <row r="7" spans="1:10" x14ac:dyDescent="0.35">
      <c r="A7" s="3">
        <v>6</v>
      </c>
      <c r="B7" t="s">
        <v>38</v>
      </c>
      <c r="C7" s="1">
        <v>0.67</v>
      </c>
      <c r="D7" s="1">
        <v>0.18</v>
      </c>
      <c r="E7" s="1">
        <v>0.15</v>
      </c>
    </row>
    <row r="8" spans="1:10" x14ac:dyDescent="0.35">
      <c r="A8" s="3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10" x14ac:dyDescent="0.35">
      <c r="A9" s="3">
        <v>8</v>
      </c>
      <c r="B9" t="s">
        <v>24</v>
      </c>
      <c r="C9" s="1">
        <v>0.63</v>
      </c>
      <c r="D9" s="1">
        <v>0.23</v>
      </c>
      <c r="E9" s="1">
        <v>0.14000000000000001</v>
      </c>
    </row>
    <row r="10" spans="1:10" x14ac:dyDescent="0.35">
      <c r="A10" s="3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0" x14ac:dyDescent="0.35">
      <c r="A11" s="3">
        <v>10</v>
      </c>
      <c r="B11" t="s">
        <v>18</v>
      </c>
      <c r="C11" s="1">
        <v>0.65</v>
      </c>
      <c r="D11" s="1">
        <v>0.22</v>
      </c>
      <c r="E11" s="1">
        <v>0.13</v>
      </c>
    </row>
    <row r="12" spans="1:10" x14ac:dyDescent="0.35">
      <c r="A12" s="3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10" x14ac:dyDescent="0.35">
      <c r="A13" s="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0" x14ac:dyDescent="0.35">
      <c r="A14" s="3">
        <v>13</v>
      </c>
      <c r="B14" t="s">
        <v>27</v>
      </c>
      <c r="C14" s="1">
        <v>0.66</v>
      </c>
      <c r="D14" s="1">
        <v>0.2</v>
      </c>
      <c r="E14" s="1">
        <v>0.14000000000000001</v>
      </c>
    </row>
    <row r="15" spans="1:10" x14ac:dyDescent="0.35">
      <c r="A15" s="3">
        <v>14</v>
      </c>
      <c r="B15" t="s">
        <v>12</v>
      </c>
      <c r="C15" s="1">
        <v>0.63</v>
      </c>
      <c r="D15" s="1">
        <v>0.22</v>
      </c>
      <c r="E15" s="1">
        <v>0.15</v>
      </c>
    </row>
    <row r="16" spans="1:10" x14ac:dyDescent="0.35">
      <c r="A16" s="3">
        <v>15</v>
      </c>
      <c r="B16" t="s">
        <v>6</v>
      </c>
      <c r="C16" s="1">
        <v>0.63</v>
      </c>
      <c r="D16" s="1">
        <v>0.23</v>
      </c>
      <c r="E16" s="1">
        <v>0.14000000000000001</v>
      </c>
    </row>
    <row r="17" spans="1:5" x14ac:dyDescent="0.35">
      <c r="A17" s="3">
        <v>16</v>
      </c>
      <c r="B17" t="s">
        <v>32</v>
      </c>
      <c r="C17" s="1">
        <v>0.68</v>
      </c>
      <c r="D17" s="1">
        <v>0.2</v>
      </c>
      <c r="E17" s="1">
        <v>0.12</v>
      </c>
    </row>
    <row r="18" spans="1:5" x14ac:dyDescent="0.35">
      <c r="A18" s="3">
        <v>17</v>
      </c>
      <c r="B18" t="s">
        <v>28</v>
      </c>
      <c r="C18" s="1">
        <v>0.67</v>
      </c>
      <c r="D18" s="1">
        <v>0.19</v>
      </c>
      <c r="E18" s="1">
        <v>0.14000000000000001</v>
      </c>
    </row>
    <row r="19" spans="1:5" x14ac:dyDescent="0.35">
      <c r="A19" s="3">
        <v>18</v>
      </c>
      <c r="B19" t="s">
        <v>3</v>
      </c>
      <c r="C19" s="1">
        <v>0.63</v>
      </c>
      <c r="D19" s="1">
        <v>0.24</v>
      </c>
      <c r="E19" s="1">
        <v>0.13</v>
      </c>
    </row>
    <row r="20" spans="1:5" x14ac:dyDescent="0.35">
      <c r="A20" s="3">
        <v>19</v>
      </c>
      <c r="B20" t="s">
        <v>26</v>
      </c>
      <c r="C20" s="1">
        <v>0.67</v>
      </c>
      <c r="D20" s="1">
        <v>0.21</v>
      </c>
      <c r="E20" s="1">
        <v>0.12</v>
      </c>
    </row>
    <row r="21" spans="1:5" x14ac:dyDescent="0.35">
      <c r="A21" s="3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35">
      <c r="A22" s="3">
        <v>21</v>
      </c>
      <c r="B22" t="s">
        <v>23</v>
      </c>
      <c r="C22" s="1">
        <v>0.62</v>
      </c>
      <c r="D22" s="1">
        <v>0.23</v>
      </c>
      <c r="E22" s="1">
        <v>0.15</v>
      </c>
    </row>
    <row r="23" spans="1:5" x14ac:dyDescent="0.35">
      <c r="A23" s="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5">
      <c r="A24" s="3">
        <v>23</v>
      </c>
      <c r="B24" t="s">
        <v>15</v>
      </c>
      <c r="C24" s="1">
        <v>0.65</v>
      </c>
      <c r="D24" s="1">
        <v>0.21</v>
      </c>
      <c r="E24" s="1">
        <v>0.14000000000000001</v>
      </c>
    </row>
    <row r="25" spans="1:5" x14ac:dyDescent="0.35">
      <c r="A25" s="3">
        <v>24</v>
      </c>
      <c r="B25" t="s">
        <v>33</v>
      </c>
      <c r="C25" s="1">
        <v>0.67</v>
      </c>
      <c r="D25" s="1">
        <v>0.19</v>
      </c>
      <c r="E25" s="1">
        <v>0.14000000000000001</v>
      </c>
    </row>
    <row r="26" spans="1:5" x14ac:dyDescent="0.35">
      <c r="A26" s="3">
        <v>25</v>
      </c>
      <c r="B26" t="s">
        <v>25</v>
      </c>
      <c r="C26" s="1">
        <v>0.69</v>
      </c>
      <c r="D26" s="1">
        <v>0.2</v>
      </c>
      <c r="E26" s="1">
        <v>0.11</v>
      </c>
    </row>
    <row r="27" spans="1:5" x14ac:dyDescent="0.35">
      <c r="A27" s="3">
        <v>26</v>
      </c>
      <c r="B27" t="s">
        <v>20</v>
      </c>
      <c r="C27" s="1">
        <v>0.68</v>
      </c>
      <c r="D27" s="1">
        <v>0.19</v>
      </c>
      <c r="E27" s="1">
        <v>0.13</v>
      </c>
    </row>
    <row r="28" spans="1:5" x14ac:dyDescent="0.35">
      <c r="A28" s="3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5">
      <c r="A29" s="3">
        <v>28</v>
      </c>
      <c r="B29" t="s">
        <v>36</v>
      </c>
      <c r="C29" s="1">
        <v>0.69</v>
      </c>
      <c r="D29" s="1">
        <v>0.17</v>
      </c>
      <c r="E29" s="1">
        <v>0.14000000000000001</v>
      </c>
    </row>
    <row r="30" spans="1:5" x14ac:dyDescent="0.35">
      <c r="A30" s="3">
        <v>29</v>
      </c>
      <c r="B30" t="s">
        <v>21</v>
      </c>
      <c r="C30" s="1">
        <v>0.66</v>
      </c>
      <c r="D30" s="1">
        <v>0.2</v>
      </c>
      <c r="E30" s="1">
        <v>0.14000000000000001</v>
      </c>
    </row>
    <row r="31" spans="1:5" x14ac:dyDescent="0.35">
      <c r="A31" s="3">
        <v>30</v>
      </c>
      <c r="B31" t="s">
        <v>41</v>
      </c>
      <c r="C31" s="1">
        <v>0.68</v>
      </c>
      <c r="D31" s="1">
        <v>0.19</v>
      </c>
      <c r="E31" s="1">
        <v>0.13</v>
      </c>
    </row>
    <row r="32" spans="1:5" x14ac:dyDescent="0.35">
      <c r="A32" s="3">
        <v>31</v>
      </c>
      <c r="B32" t="s">
        <v>22</v>
      </c>
      <c r="C32" s="1">
        <v>0.6</v>
      </c>
      <c r="D32" s="1">
        <v>0.24</v>
      </c>
      <c r="E32" s="1">
        <v>0.16</v>
      </c>
    </row>
    <row r="33" spans="1:5" x14ac:dyDescent="0.35">
      <c r="A33" s="3">
        <v>32</v>
      </c>
      <c r="B33" t="s">
        <v>43</v>
      </c>
      <c r="C33" s="1">
        <v>0.69</v>
      </c>
      <c r="D33" s="1">
        <v>0.17</v>
      </c>
      <c r="E33" s="1">
        <v>0.14000000000000001</v>
      </c>
    </row>
    <row r="34" spans="1:5" x14ac:dyDescent="0.35">
      <c r="A34" s="3">
        <v>33</v>
      </c>
      <c r="B34" t="s">
        <v>39</v>
      </c>
      <c r="C34" s="1">
        <v>0.62</v>
      </c>
      <c r="D34" s="1">
        <v>0.21</v>
      </c>
      <c r="E34" s="1">
        <v>0.17</v>
      </c>
    </row>
    <row r="35" spans="1:5" x14ac:dyDescent="0.35">
      <c r="A35" s="3">
        <v>34</v>
      </c>
      <c r="B35" t="s">
        <v>2</v>
      </c>
      <c r="C35" s="1">
        <v>0.64</v>
      </c>
      <c r="D35" s="1">
        <v>0.24</v>
      </c>
      <c r="E35" s="1">
        <v>0.12</v>
      </c>
    </row>
    <row r="36" spans="1:5" x14ac:dyDescent="0.35">
      <c r="A36" s="3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5">
      <c r="A37" s="3">
        <v>36</v>
      </c>
      <c r="B37" t="s">
        <v>11</v>
      </c>
      <c r="C37" s="1">
        <v>0.65</v>
      </c>
      <c r="D37" s="1">
        <v>0.22</v>
      </c>
      <c r="E37" s="1">
        <v>0.13</v>
      </c>
    </row>
    <row r="38" spans="1:5" x14ac:dyDescent="0.35">
      <c r="A38" s="3">
        <v>37</v>
      </c>
      <c r="B38" t="s">
        <v>13</v>
      </c>
      <c r="C38" s="1">
        <v>0.69</v>
      </c>
      <c r="D38" s="1">
        <v>0.19</v>
      </c>
      <c r="E38" s="1">
        <v>0.12</v>
      </c>
    </row>
    <row r="39" spans="1:5" x14ac:dyDescent="0.35">
      <c r="A39" s="3">
        <v>38</v>
      </c>
      <c r="B39" t="s">
        <v>37</v>
      </c>
      <c r="C39" s="1">
        <v>0.69</v>
      </c>
      <c r="D39" s="1">
        <v>0.18</v>
      </c>
      <c r="E39" s="1">
        <v>0.13</v>
      </c>
    </row>
    <row r="40" spans="1:5" x14ac:dyDescent="0.35">
      <c r="A40" s="3">
        <v>39</v>
      </c>
      <c r="B40" t="s">
        <v>10</v>
      </c>
      <c r="C40" s="1">
        <v>0.61</v>
      </c>
      <c r="D40" s="1">
        <v>0.24</v>
      </c>
      <c r="E40" s="1">
        <v>0.15</v>
      </c>
    </row>
    <row r="41" spans="1:5" x14ac:dyDescent="0.35">
      <c r="A41" s="3">
        <v>40</v>
      </c>
      <c r="B41" t="s">
        <v>8</v>
      </c>
      <c r="C41" s="1">
        <v>0.63</v>
      </c>
      <c r="D41" s="1">
        <v>0.24</v>
      </c>
      <c r="E41" s="1">
        <v>0.13</v>
      </c>
    </row>
    <row r="42" spans="1:5" x14ac:dyDescent="0.35">
      <c r="A42" s="3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5">
      <c r="A43" s="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5">
      <c r="A44" s="3">
        <v>43</v>
      </c>
      <c r="B44" t="s">
        <v>5</v>
      </c>
      <c r="C44" s="1">
        <v>0.66</v>
      </c>
      <c r="D44" s="1">
        <v>0.22</v>
      </c>
      <c r="E44" s="1">
        <v>0.12</v>
      </c>
    </row>
    <row r="45" spans="1:5" x14ac:dyDescent="0.35">
      <c r="A45" s="3">
        <v>44</v>
      </c>
      <c r="B45" t="s">
        <v>31</v>
      </c>
      <c r="C45" s="1">
        <v>0.68</v>
      </c>
      <c r="D45" s="1">
        <v>0.2</v>
      </c>
      <c r="E45" s="1">
        <v>0.12</v>
      </c>
    </row>
    <row r="46" spans="1:5" x14ac:dyDescent="0.35">
      <c r="A46" s="3">
        <v>45</v>
      </c>
      <c r="B46" t="s">
        <v>7</v>
      </c>
      <c r="C46" s="1">
        <v>0.63</v>
      </c>
      <c r="D46" s="1">
        <v>0.23</v>
      </c>
      <c r="E46" s="1">
        <v>0.14000000000000001</v>
      </c>
    </row>
    <row r="47" spans="1:5" x14ac:dyDescent="0.35">
      <c r="A47" s="3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5">
      <c r="A48" s="3">
        <v>47</v>
      </c>
      <c r="B48" t="s">
        <v>17</v>
      </c>
      <c r="C48" s="1">
        <v>0.63</v>
      </c>
      <c r="D48" s="1">
        <v>0.23</v>
      </c>
      <c r="E48" s="1">
        <v>0.14000000000000001</v>
      </c>
    </row>
    <row r="49" spans="1:5" x14ac:dyDescent="0.35">
      <c r="A49" s="3">
        <v>48</v>
      </c>
      <c r="B49" t="s">
        <v>40</v>
      </c>
      <c r="C49" s="1">
        <v>0.67</v>
      </c>
      <c r="D49" s="1">
        <v>0.18</v>
      </c>
      <c r="E49" s="1">
        <v>0.15</v>
      </c>
    </row>
    <row r="50" spans="1:5" x14ac:dyDescent="0.35">
      <c r="A50" s="3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5">
      <c r="A51" s="3">
        <v>50</v>
      </c>
      <c r="B51" t="s">
        <v>30</v>
      </c>
      <c r="C51" s="1">
        <v>0.66</v>
      </c>
      <c r="D51" s="1">
        <v>0.2</v>
      </c>
      <c r="E51" s="1">
        <v>0.14000000000000001</v>
      </c>
    </row>
    <row r="52" spans="1:5" x14ac:dyDescent="0.35">
      <c r="A52" s="3">
        <v>51</v>
      </c>
      <c r="B52" t="s">
        <v>46</v>
      </c>
      <c r="C52" s="1">
        <v>0.7</v>
      </c>
      <c r="D52" s="1">
        <v>0.17</v>
      </c>
      <c r="E52" s="1">
        <v>0.13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686B-61C6-4F9B-BD4A-B0B007F5CC00}">
  <dimension ref="A1:AZ4"/>
  <sheetViews>
    <sheetView workbookViewId="0">
      <pane xSplit="13" ySplit="28" topLeftCell="N38" activePane="bottomRight" state="frozen"/>
      <selection pane="topRight" activeCell="N1" sqref="N1"/>
      <selection pane="bottomLeft" activeCell="A29" sqref="A29"/>
      <selection pane="bottomRight" activeCell="P13" sqref="P13"/>
    </sheetView>
  </sheetViews>
  <sheetFormatPr defaultRowHeight="14.5" x14ac:dyDescent="0.35"/>
  <sheetData>
    <row r="1" spans="1:52" x14ac:dyDescent="0.35">
      <c r="A1" t="s">
        <v>0</v>
      </c>
      <c r="B1" t="s">
        <v>4</v>
      </c>
      <c r="C1" t="s">
        <v>49</v>
      </c>
      <c r="D1" t="s">
        <v>29</v>
      </c>
      <c r="E1" t="s">
        <v>16</v>
      </c>
      <c r="F1" t="s">
        <v>34</v>
      </c>
      <c r="G1" t="s">
        <v>38</v>
      </c>
      <c r="H1" t="s">
        <v>19</v>
      </c>
      <c r="I1" t="s">
        <v>24</v>
      </c>
      <c r="J1" t="s">
        <v>51</v>
      </c>
      <c r="K1" t="s">
        <v>18</v>
      </c>
      <c r="L1" t="s">
        <v>9</v>
      </c>
      <c r="M1" t="s">
        <v>50</v>
      </c>
      <c r="N1" t="s">
        <v>27</v>
      </c>
      <c r="O1" t="s">
        <v>12</v>
      </c>
      <c r="P1" t="s">
        <v>6</v>
      </c>
      <c r="Q1" t="s">
        <v>32</v>
      </c>
      <c r="R1" t="s">
        <v>28</v>
      </c>
      <c r="S1" t="s">
        <v>3</v>
      </c>
      <c r="T1" t="s">
        <v>26</v>
      </c>
      <c r="U1" t="s">
        <v>45</v>
      </c>
      <c r="V1" t="s">
        <v>23</v>
      </c>
      <c r="W1" t="s">
        <v>42</v>
      </c>
      <c r="X1" t="s">
        <v>15</v>
      </c>
      <c r="Y1" t="s">
        <v>33</v>
      </c>
      <c r="Z1" t="s">
        <v>25</v>
      </c>
      <c r="AA1" t="s">
        <v>20</v>
      </c>
      <c r="AB1" t="s">
        <v>48</v>
      </c>
      <c r="AC1" t="s">
        <v>36</v>
      </c>
      <c r="AD1" t="s">
        <v>21</v>
      </c>
      <c r="AE1" t="s">
        <v>41</v>
      </c>
      <c r="AF1" t="s">
        <v>22</v>
      </c>
      <c r="AG1" t="s">
        <v>43</v>
      </c>
      <c r="AH1" t="s">
        <v>39</v>
      </c>
      <c r="AI1" t="s">
        <v>2</v>
      </c>
      <c r="AJ1" t="s">
        <v>35</v>
      </c>
      <c r="AK1" t="s">
        <v>11</v>
      </c>
      <c r="AL1" t="s">
        <v>13</v>
      </c>
      <c r="AM1" t="s">
        <v>37</v>
      </c>
      <c r="AN1" t="s">
        <v>10</v>
      </c>
      <c r="AO1" t="s">
        <v>8</v>
      </c>
      <c r="AP1" t="s">
        <v>1</v>
      </c>
      <c r="AQ1" t="s">
        <v>44</v>
      </c>
      <c r="AR1" t="s">
        <v>5</v>
      </c>
      <c r="AS1" t="s">
        <v>31</v>
      </c>
      <c r="AT1" t="s">
        <v>7</v>
      </c>
      <c r="AU1" t="s">
        <v>47</v>
      </c>
      <c r="AV1" t="s">
        <v>17</v>
      </c>
      <c r="AW1" t="s">
        <v>40</v>
      </c>
      <c r="AX1" t="s">
        <v>14</v>
      </c>
      <c r="AY1" t="s">
        <v>30</v>
      </c>
      <c r="AZ1" t="s">
        <v>46</v>
      </c>
    </row>
    <row r="2" spans="1:52" x14ac:dyDescent="0.35">
      <c r="A2" t="s">
        <v>54</v>
      </c>
      <c r="B2" s="1">
        <v>0.65</v>
      </c>
      <c r="C2" s="1">
        <v>0.71</v>
      </c>
      <c r="D2" s="1">
        <v>0.66</v>
      </c>
      <c r="E2" s="1">
        <v>0.66</v>
      </c>
      <c r="F2" s="1">
        <v>0.65</v>
      </c>
      <c r="G2" s="1">
        <v>0.67</v>
      </c>
      <c r="H2" s="1">
        <v>0.63</v>
      </c>
      <c r="I2" s="1">
        <v>0.63</v>
      </c>
      <c r="J2" s="1">
        <v>0.66</v>
      </c>
      <c r="K2" s="1">
        <v>0.65</v>
      </c>
      <c r="L2" s="1">
        <v>0.63</v>
      </c>
      <c r="M2" s="1">
        <v>0.73</v>
      </c>
      <c r="N2" s="1">
        <v>0.66</v>
      </c>
      <c r="O2" s="1">
        <v>0.63</v>
      </c>
      <c r="P2" s="1">
        <v>0.63</v>
      </c>
      <c r="Q2" s="1">
        <v>0.68</v>
      </c>
      <c r="R2" s="1">
        <v>0.67</v>
      </c>
      <c r="S2" s="1">
        <v>0.63</v>
      </c>
      <c r="T2" s="1">
        <v>0.67</v>
      </c>
      <c r="U2" s="1">
        <v>0.69</v>
      </c>
      <c r="V2" s="1">
        <v>0.62</v>
      </c>
      <c r="W2" s="1">
        <v>0.62</v>
      </c>
      <c r="X2" s="1">
        <v>0.65</v>
      </c>
      <c r="Y2" s="1">
        <v>0.67</v>
      </c>
      <c r="Z2" s="1">
        <v>0.69</v>
      </c>
      <c r="AA2" s="1">
        <v>0.68</v>
      </c>
      <c r="AB2" s="1">
        <v>0.75</v>
      </c>
      <c r="AC2" s="1">
        <v>0.69</v>
      </c>
      <c r="AD2" s="1">
        <v>0.66</v>
      </c>
      <c r="AE2" s="1">
        <v>0.68</v>
      </c>
      <c r="AF2" s="1">
        <v>0.6</v>
      </c>
      <c r="AG2" s="1">
        <v>0.69</v>
      </c>
      <c r="AH2" s="1">
        <v>0.62</v>
      </c>
      <c r="AI2" s="1">
        <v>0.64</v>
      </c>
      <c r="AJ2" s="1">
        <v>0.69</v>
      </c>
      <c r="AK2" s="1">
        <v>0.65</v>
      </c>
      <c r="AL2" s="1">
        <v>0.69</v>
      </c>
      <c r="AM2" s="1">
        <v>0.69</v>
      </c>
      <c r="AN2" s="1">
        <v>0.61</v>
      </c>
      <c r="AO2" s="1">
        <v>0.63</v>
      </c>
      <c r="AP2" s="1">
        <v>0.67</v>
      </c>
      <c r="AQ2" s="1">
        <v>0.75</v>
      </c>
      <c r="AR2" s="1">
        <v>0.66</v>
      </c>
      <c r="AS2" s="1">
        <v>0.68</v>
      </c>
      <c r="AT2" s="1">
        <v>0.63</v>
      </c>
      <c r="AU2" s="1">
        <v>0.69</v>
      </c>
      <c r="AV2" s="1">
        <v>0.63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5">
      <c r="A3" t="s">
        <v>55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0.23</v>
      </c>
      <c r="J3" s="1">
        <v>0.17</v>
      </c>
      <c r="K3" s="1">
        <v>0.22</v>
      </c>
      <c r="L3" s="1">
        <v>0.23</v>
      </c>
      <c r="M3" s="1">
        <v>0.14000000000000001</v>
      </c>
      <c r="N3" s="1">
        <v>0.2</v>
      </c>
      <c r="O3" s="1">
        <v>0.22</v>
      </c>
      <c r="P3" s="1">
        <v>0.23</v>
      </c>
      <c r="Q3" s="1">
        <v>0.2</v>
      </c>
      <c r="R3" s="1">
        <v>0.19</v>
      </c>
      <c r="S3" s="1">
        <v>0.24</v>
      </c>
      <c r="T3" s="1">
        <v>0.21</v>
      </c>
      <c r="U3" s="1">
        <v>0.18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0.19</v>
      </c>
      <c r="AF3" s="1">
        <v>0.24</v>
      </c>
      <c r="AG3" s="1">
        <v>0.17</v>
      </c>
      <c r="AH3" s="1">
        <v>0.21</v>
      </c>
      <c r="AI3" s="1">
        <v>0.24</v>
      </c>
      <c r="AJ3" s="1">
        <v>0.19</v>
      </c>
      <c r="AK3" s="1">
        <v>0.22</v>
      </c>
      <c r="AL3" s="1">
        <v>0.19</v>
      </c>
      <c r="AM3" s="1">
        <v>0.18</v>
      </c>
      <c r="AN3" s="1">
        <v>0.24</v>
      </c>
      <c r="AO3" s="1">
        <v>0.24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0.23</v>
      </c>
      <c r="AU3" s="1">
        <v>0.17</v>
      </c>
      <c r="AV3" s="1">
        <v>0.23</v>
      </c>
      <c r="AW3" s="1">
        <v>0.18</v>
      </c>
      <c r="AX3" s="1">
        <v>0.23</v>
      </c>
      <c r="AY3" s="1">
        <v>0.2</v>
      </c>
      <c r="AZ3" s="1">
        <v>0.17</v>
      </c>
    </row>
    <row r="4" spans="1:52" x14ac:dyDescent="0.35">
      <c r="A4" t="s">
        <v>56</v>
      </c>
      <c r="B4" s="1">
        <v>0.12</v>
      </c>
      <c r="C4" s="1">
        <v>0.14000000000000001</v>
      </c>
      <c r="D4" s="1">
        <v>0.14000000000000001</v>
      </c>
      <c r="E4" s="1">
        <v>0.13</v>
      </c>
      <c r="F4" s="1">
        <v>0.15</v>
      </c>
      <c r="G4" s="1">
        <v>0.15</v>
      </c>
      <c r="H4" s="1">
        <v>0.15</v>
      </c>
      <c r="I4" s="1">
        <v>0.14000000000000001</v>
      </c>
      <c r="J4" s="1">
        <v>0.17</v>
      </c>
      <c r="K4" s="1">
        <v>0.13</v>
      </c>
      <c r="L4" s="1">
        <v>0.14000000000000001</v>
      </c>
      <c r="M4" s="1">
        <v>0.13</v>
      </c>
      <c r="N4" s="1">
        <v>0.14000000000000001</v>
      </c>
      <c r="O4" s="1">
        <v>0.15</v>
      </c>
      <c r="P4" s="1">
        <v>0.14000000000000001</v>
      </c>
      <c r="Q4" s="1">
        <v>0.12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0.11</v>
      </c>
      <c r="AA4" s="1">
        <v>0.13</v>
      </c>
      <c r="AB4" s="1">
        <v>0.11</v>
      </c>
      <c r="AC4" s="1">
        <v>0.14000000000000001</v>
      </c>
      <c r="AD4" s="1">
        <v>0.14000000000000001</v>
      </c>
      <c r="AE4" s="1">
        <v>0.13</v>
      </c>
      <c r="AF4" s="1">
        <v>0.16</v>
      </c>
      <c r="AG4" s="1">
        <v>0.14000000000000001</v>
      </c>
      <c r="AH4" s="1">
        <v>0.17</v>
      </c>
      <c r="AI4" s="1">
        <v>0.12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0.11</v>
      </c>
      <c r="AR4" s="1">
        <v>0.12</v>
      </c>
      <c r="AS4" s="1">
        <v>0.12</v>
      </c>
      <c r="AT4" s="1">
        <v>0.14000000000000001</v>
      </c>
      <c r="AU4" s="1">
        <v>0.14000000000000001</v>
      </c>
      <c r="AV4" s="1">
        <v>0.14000000000000001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095C-67F0-46E4-A82C-F53AC9D8AEFB}">
  <dimension ref="A1:C14"/>
  <sheetViews>
    <sheetView tabSelected="1" workbookViewId="0">
      <selection activeCell="I24" sqref="I24"/>
    </sheetView>
  </sheetViews>
  <sheetFormatPr defaultRowHeight="14.5" x14ac:dyDescent="0.35"/>
  <cols>
    <col min="1" max="1" width="22.54296875" customWidth="1"/>
    <col min="2" max="2" width="27" customWidth="1"/>
    <col min="3" max="3" width="21.08984375" customWidth="1"/>
    <col min="4" max="4" width="11" customWidth="1"/>
    <col min="5" max="6" width="13.81640625" customWidth="1"/>
  </cols>
  <sheetData>
    <row r="1" spans="1:3" ht="13.5" customHeight="1" x14ac:dyDescent="0.35">
      <c r="A1" s="8" t="s">
        <v>58</v>
      </c>
      <c r="B1" t="s">
        <v>67</v>
      </c>
    </row>
    <row r="3" spans="1:3" x14ac:dyDescent="0.35">
      <c r="A3" s="8" t="s">
        <v>64</v>
      </c>
      <c r="B3" t="s">
        <v>66</v>
      </c>
      <c r="C3" t="s">
        <v>63</v>
      </c>
    </row>
    <row r="4" spans="1:3" x14ac:dyDescent="0.35">
      <c r="A4" s="9" t="s">
        <v>27</v>
      </c>
      <c r="B4" s="1">
        <v>0.66</v>
      </c>
      <c r="C4" s="1">
        <v>0.2</v>
      </c>
    </row>
    <row r="5" spans="1:3" x14ac:dyDescent="0.35">
      <c r="A5" s="9" t="s">
        <v>15</v>
      </c>
      <c r="B5" s="1">
        <v>0.65</v>
      </c>
      <c r="C5" s="1">
        <v>0.21</v>
      </c>
    </row>
    <row r="6" spans="1:3" ht="15.5" customHeight="1" x14ac:dyDescent="0.35">
      <c r="A6" s="9" t="s">
        <v>33</v>
      </c>
      <c r="B6" s="1">
        <v>0.67</v>
      </c>
      <c r="C6" s="1">
        <v>0.19</v>
      </c>
    </row>
    <row r="7" spans="1:3" x14ac:dyDescent="0.35">
      <c r="A7" s="9" t="s">
        <v>48</v>
      </c>
      <c r="B7" s="1">
        <v>0.75</v>
      </c>
      <c r="C7" s="1">
        <v>0.14000000000000001</v>
      </c>
    </row>
    <row r="8" spans="1:3" x14ac:dyDescent="0.35">
      <c r="A8" s="9" t="s">
        <v>36</v>
      </c>
      <c r="B8" s="1">
        <v>0.69</v>
      </c>
      <c r="C8" s="1">
        <v>0.17</v>
      </c>
    </row>
    <row r="9" spans="1:3" x14ac:dyDescent="0.35">
      <c r="A9" s="9" t="s">
        <v>35</v>
      </c>
      <c r="B9" s="1">
        <v>0.69</v>
      </c>
      <c r="C9" s="1">
        <v>0.19</v>
      </c>
    </row>
    <row r="10" spans="1:3" x14ac:dyDescent="0.35">
      <c r="A10" s="9" t="s">
        <v>37</v>
      </c>
      <c r="B10" s="1">
        <v>0.69</v>
      </c>
      <c r="C10" s="1">
        <v>0.18</v>
      </c>
    </row>
    <row r="11" spans="1:3" x14ac:dyDescent="0.35">
      <c r="A11" s="9" t="s">
        <v>44</v>
      </c>
      <c r="B11" s="1">
        <v>0.75</v>
      </c>
      <c r="C11" s="1">
        <v>0.14000000000000001</v>
      </c>
    </row>
    <row r="12" spans="1:3" x14ac:dyDescent="0.35">
      <c r="A12" s="9" t="s">
        <v>40</v>
      </c>
      <c r="B12" s="1">
        <v>0.67</v>
      </c>
      <c r="C12" s="1">
        <v>0.18</v>
      </c>
    </row>
    <row r="13" spans="1:3" x14ac:dyDescent="0.35">
      <c r="A13" s="9" t="s">
        <v>30</v>
      </c>
      <c r="B13" s="1">
        <v>0.66</v>
      </c>
      <c r="C13" s="1">
        <v>0.2</v>
      </c>
    </row>
    <row r="14" spans="1:3" x14ac:dyDescent="0.35">
      <c r="A14" s="9" t="s">
        <v>65</v>
      </c>
      <c r="B14" s="1">
        <v>6.879999999999999</v>
      </c>
      <c r="C14" s="1">
        <v>1.7999999999999998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region lookup (2)</vt:lpstr>
      <vt:lpstr>By search name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earl lacerna</dc:creator>
  <cp:lastModifiedBy>earl lacerna</cp:lastModifiedBy>
  <dcterms:created xsi:type="dcterms:W3CDTF">2026-10-16T10:36:58Z</dcterms:created>
  <dcterms:modified xsi:type="dcterms:W3CDTF">2026-10-17T00:30:55Z</dcterms:modified>
</cp:coreProperties>
</file>