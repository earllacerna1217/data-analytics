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Data-Week1/"/>
    </mc:Choice>
  </mc:AlternateContent>
  <xr:revisionPtr revIDLastSave="0" documentId="8_{B52272F6-E893-435A-A7AA-09BDC295898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3" sheetId="3" r:id="rId2"/>
  </sheets>
  <calcPr calcId="191028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A20" i="1"/>
  <c r="A17" i="1"/>
  <c r="D2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<sst xmlns="http://schemas.openxmlformats.org/spreadsheetml/2006/main" count="91" uniqueCount="56">
  <si>
    <t>Id</t>
  </si>
  <si>
    <t>Start time</t>
  </si>
  <si>
    <t>Completion time</t>
  </si>
  <si>
    <t>Email</t>
  </si>
  <si>
    <t>Name</t>
  </si>
  <si>
    <t>Rate how much you enjoy Starbucks</t>
  </si>
  <si>
    <t>How much do you usually spend when you order?</t>
  </si>
  <si>
    <t>How often do you order at starbucks?</t>
  </si>
  <si>
    <t>What makes you decide to order with us?</t>
  </si>
  <si>
    <t>elacerna@my.yearupunited.org</t>
  </si>
  <si>
    <t>earl lacerna</t>
  </si>
  <si>
    <t>$7-$12</t>
  </si>
  <si>
    <t>Once a week</t>
  </si>
  <si>
    <t>Free Wifi</t>
  </si>
  <si>
    <t>cortega@my.yearupunited.org</t>
  </si>
  <si>
    <t>clarissa ortega</t>
  </si>
  <si>
    <t>$12 and above</t>
  </si>
  <si>
    <t>Monthly</t>
  </si>
  <si>
    <t>Reliability</t>
  </si>
  <si>
    <t>adeala@my.yearupunited.org</t>
  </si>
  <si>
    <t>angelo deala</t>
  </si>
  <si>
    <t>$7 below</t>
  </si>
  <si>
    <t>Menu choices</t>
  </si>
  <si>
    <t>jsmith4@my.yearupunited.org</t>
  </si>
  <si>
    <t>jden smith</t>
  </si>
  <si>
    <t>Never</t>
  </si>
  <si>
    <t>mlujan@my.yearupunited.org</t>
  </si>
  <si>
    <t>maceo lujan</t>
  </si>
  <si>
    <t>kpham1@my.yearupunited.org</t>
  </si>
  <si>
    <t>kevin pham</t>
  </si>
  <si>
    <t>Time-efficient</t>
  </si>
  <si>
    <t>gthomas3@my.yearupunited.org</t>
  </si>
  <si>
    <t>gabriel thomas</t>
  </si>
  <si>
    <t>Your brownies weren't bad</t>
  </si>
  <si>
    <t>ezazueta@my.yearupunited.org</t>
  </si>
  <si>
    <t>emma zazueta</t>
  </si>
  <si>
    <t>There have been forever chemicals found in your beverages that negatively impact human health. I would rather save money and make coffee at home or go to a local cafe. Your company has stated that price increases are due to the "Starbucks experience" but honestly? The experience is drinking sugary milk with a $9 price tag. I wish you would go bankrupt.</t>
  </si>
  <si>
    <t>mfilho@my.yearupunited.org</t>
  </si>
  <si>
    <t>marcos filho</t>
  </si>
  <si>
    <t>Few times a week</t>
  </si>
  <si>
    <t>asoriano@my.yearupunited.org</t>
  </si>
  <si>
    <t>arnel soriano</t>
  </si>
  <si>
    <t>n/a</t>
  </si>
  <si>
    <t>losman@my.yearupunited.org</t>
  </si>
  <si>
    <t>laden osman</t>
  </si>
  <si>
    <t>Every two weeks</t>
  </si>
  <si>
    <t>ahernandez8@my.yearupunited.org</t>
  </si>
  <si>
    <t>allison hernandez</t>
  </si>
  <si>
    <t>Time To Complete2</t>
  </si>
  <si>
    <t xml:space="preserve">How many "never" out of 13 </t>
  </si>
  <si>
    <t>How many "Once a month"</t>
  </si>
  <si>
    <t>Row Labels</t>
  </si>
  <si>
    <t>Grand Total</t>
  </si>
  <si>
    <t>Column Labels</t>
  </si>
  <si>
    <t>Sum of Id</t>
  </si>
  <si>
    <t>Average rating  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</si>
</sst>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72" formatCode="m/d/yyyy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NumberFormat="1"/>
    <xf numFmtId="49" fontId="0" fillId="0" borderId="0" xfId="0" applyNumberFormat="1"/>
    <xf numFmtId="172" fontId="0" fillId="0" borderId="0" xfId="0" applyNumberFormat="1"/>
    <xf numFmtId="0" fontId="2" fillId="0" borderId="0" xfId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pivotButton="1"/>
    <xf numFmtId="0" fontId="1" fillId="0" borderId="0" xfId="0" applyNumberFormat="1" applyFont="1"/>
  </cellXfs>
  <cellStyles count="2">
    <cellStyle name="Hyperlink" xfId="1" builtinId="8"/>
    <cellStyle name="Normal" xfId="0" builtinId="0"/>
  </cellStyles>
  <dxfs count="18">
    <dxf>
      <numFmt numFmtId="164" formatCode="m/d/yyyy\ h:mm:ss"/>
    </dxf>
    <dxf>
      <numFmt numFmtId="164" formatCode="m/d/yyyy\ h:mm:ss"/>
    </dxf>
    <dxf>
      <numFmt numFmtId="164" formatCode="m/d/yyyy\ 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/d/yyyy\ h:mm:ss"/>
    </dxf>
    <dxf>
      <numFmt numFmtId="0" formatCode="General"/>
    </dxf>
    <dxf>
      <numFmt numFmtId="164" formatCode="m/d/yyyy\ h:mm:ss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[Ex5B_RestaurantCustomerSurvey.xlsx]Sheet3!PivotTable2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234462403972166E-2"/>
          <c:y val="0.13786818314377369"/>
          <c:w val="0.56813058719486853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$7-$12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Every two weeks</c:v>
                </c:pt>
                <c:pt idx="1">
                  <c:v>Few times a week</c:v>
                </c:pt>
                <c:pt idx="2">
                  <c:v>Monthly</c:v>
                </c:pt>
                <c:pt idx="3">
                  <c:v>Never</c:v>
                </c:pt>
                <c:pt idx="4">
                  <c:v>Once a week</c:v>
                </c:pt>
              </c:strCache>
            </c:strRef>
          </c:cat>
          <c:val>
            <c:numRef>
              <c:f>Sheet3!$B$6:$B$11</c:f>
              <c:numCache>
                <c:formatCode>General</c:formatCode>
                <c:ptCount val="5"/>
                <c:pt idx="0">
                  <c:v>13</c:v>
                </c:pt>
                <c:pt idx="2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8D6-4818-906D-ED471B76D85A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$7 below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Every two weeks</c:v>
                </c:pt>
                <c:pt idx="1">
                  <c:v>Few times a week</c:v>
                </c:pt>
                <c:pt idx="2">
                  <c:v>Monthly</c:v>
                </c:pt>
                <c:pt idx="3">
                  <c:v>Never</c:v>
                </c:pt>
                <c:pt idx="4">
                  <c:v>Once a week</c:v>
                </c:pt>
              </c:strCache>
            </c:strRef>
          </c:cat>
          <c:val>
            <c:numRef>
              <c:f>Sheet3!$C$6:$C$11</c:f>
              <c:numCache>
                <c:formatCode>General</c:formatCode>
                <c:ptCount val="5"/>
                <c:pt idx="3">
                  <c:v>35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8D6-4818-906D-ED471B76D85A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$12 and above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Every two weeks</c:v>
                </c:pt>
                <c:pt idx="1">
                  <c:v>Few times a week</c:v>
                </c:pt>
                <c:pt idx="2">
                  <c:v>Monthly</c:v>
                </c:pt>
                <c:pt idx="3">
                  <c:v>Never</c:v>
                </c:pt>
                <c:pt idx="4">
                  <c:v>Once a week</c:v>
                </c:pt>
              </c:strCache>
            </c:strRef>
          </c:cat>
          <c:val>
            <c:numRef>
              <c:f>Sheet3!$D$6:$D$11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8D6-4818-906D-ED471B76D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8520287"/>
        <c:axId val="1028912911"/>
      </c:barChart>
      <c:catAx>
        <c:axId val="102852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12911"/>
        <c:crosses val="autoZero"/>
        <c:auto val="1"/>
        <c:lblAlgn val="ctr"/>
        <c:lblOffset val="100"/>
        <c:noMultiLvlLbl val="0"/>
      </c:catAx>
      <c:valAx>
        <c:axId val="10289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2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71081307627833"/>
          <c:y val="0.42198663116750695"/>
          <c:w val="0.33333322633232704"/>
          <c:h val="0.20788899214663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explosion val="18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C5-471C-B437-A6F632CEDD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C5-471C-B437-A6F632CEDDFA}"/>
              </c:ext>
            </c:extLst>
          </c:dPt>
          <c:dPt>
            <c:idx val="2"/>
            <c:bubble3D val="0"/>
            <c:explosion val="5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C5-471C-B437-A6F632CEDDFA}"/>
              </c:ext>
            </c:extLst>
          </c:dPt>
          <c:dPt>
            <c:idx val="3"/>
            <c:bubble3D val="0"/>
            <c:explosion val="8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C5-471C-B437-A6F632CEDD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C5-471C-B437-A6F632CEDDFA}"/>
              </c:ext>
            </c:extLst>
          </c:dPt>
          <c:cat>
            <c:strLit>
              <c:ptCount val="5"/>
              <c:pt idx="0">
                <c:v>Every two weeks</c:v>
              </c:pt>
              <c:pt idx="1">
                <c:v>Few times a week</c:v>
              </c:pt>
              <c:pt idx="2">
                <c:v>Monthly</c:v>
              </c:pt>
              <c:pt idx="3">
                <c:v>Never</c:v>
              </c:pt>
              <c:pt idx="4">
                <c:v>Once a week</c:v>
              </c:pt>
            </c:strLit>
          </c:cat>
          <c:val>
            <c:numLit>
              <c:formatCode>General</c:formatCode>
              <c:ptCount val="5"/>
              <c:pt idx="0">
                <c:v>24</c:v>
              </c:pt>
              <c:pt idx="1">
                <c:v>9</c:v>
              </c:pt>
              <c:pt idx="2">
                <c:v>14</c:v>
              </c:pt>
              <c:pt idx="3">
                <c:v>35</c:v>
              </c:pt>
              <c:pt idx="4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A-2FC5-471C-B437-A6F632CED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95943204868155"/>
          <c:y val="0.50952861698429719"/>
          <c:w val="0.30730223123732253"/>
          <c:h val="0.379674157812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119530</xdr:colOff>
      <xdr:row>12</xdr:row>
      <xdr:rowOff>8963</xdr:rowOff>
    </xdr:from>
    <xdr:to>
      <xdr:col>14</xdr:col>
      <xdr:colOff>283883</xdr:colOff>
      <xdr:row>33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8EB55-6958-23F7-23B6-97B69686A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154642</xdr:colOff>
      <xdr:row>34</xdr:row>
      <xdr:rowOff>67608</xdr:rowOff>
    </xdr:from>
    <xdr:to>
      <xdr:col>3</xdr:col>
      <xdr:colOff>866588</xdr:colOff>
      <xdr:row>55</xdr:row>
      <xdr:rowOff>149412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14316-6129-49B4-A2AD-41EF1E71C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rl lacerna" refreshedDate="46311.823118171298" createdVersion="8" refreshedVersion="8" minRefreshableVersion="3" recordCount="13" xr:uid="{BEB9D6EF-BF15-40FC-BCF1-38C66CEDDCAB}">
  <cacheSource type="worksheet">
    <worksheetSource name="OfficeForms.Table"/>
  </cacheSource>
  <cacheFields count="10">
    <cacheField name="Id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rt time" numFmtId="164">
      <sharedItems containsSemiMixedTypes="0" containsNonDate="0" containsDate="1" containsString="0" minDate="2026-10-16T03:29:05" maxDate="2026-10-16T15:27:26"/>
    </cacheField>
    <cacheField name="Completion time" numFmtId="164">
      <sharedItems containsSemiMixedTypes="0" containsNonDate="0" containsDate="1" containsString="0" minDate="2026-10-16T03:29:45" maxDate="2026-10-16T15:28:48"/>
    </cacheField>
    <cacheField name="Time To Complete2" numFmtId="164">
      <sharedItems containsSemiMixedTypes="0" containsNonDate="0" containsDate="1" containsString="0" minDate="1899-12-30T00:00:16" maxDate="1899-12-30T00:01:54"/>
    </cacheField>
    <cacheField name="Email" numFmtId="0">
      <sharedItems count="12">
        <s v="elacerna@my.yearupunited.org"/>
        <s v="cortega@my.yearupunited.org"/>
        <s v="adeala@my.yearupunited.org"/>
        <s v="jsmith4@my.yearupunited.org"/>
        <s v="mlujan@my.yearupunited.org"/>
        <s v="kpham1@my.yearupunited.org"/>
        <s v="gthomas3@my.yearupunited.org"/>
        <s v="ezazueta@my.yearupunited.org"/>
        <s v="mfilho@my.yearupunited.org"/>
        <s v="asoriano@my.yearupunited.org"/>
        <s v="losman@my.yearupunited.org"/>
        <s v="ahernandez8@my.yearupunited.org"/>
      </sharedItems>
    </cacheField>
    <cacheField name="Name" numFmtId="0">
      <sharedItems/>
    </cacheField>
    <cacheField name="Rate how much you enjoy Starbucks" numFmtId="0">
      <sharedItems containsSemiMixedTypes="0" containsString="0" containsNumber="1" containsInteger="1" minValue="1" maxValue="5" count="5">
        <n v="5"/>
        <n v="2"/>
        <n v="4"/>
        <n v="1"/>
        <n v="3"/>
      </sharedItems>
    </cacheField>
    <cacheField name="How much do you usually spend when you order?" numFmtId="0">
      <sharedItems count="3">
        <s v="$7-$12"/>
        <s v="$12 and above"/>
        <s v="$7 below"/>
      </sharedItems>
    </cacheField>
    <cacheField name="How often do you order at starbucks?" numFmtId="0">
      <sharedItems count="5">
        <s v="Once a week"/>
        <s v="Monthly"/>
        <s v="Never"/>
        <s v="Few times a week"/>
        <s v="Every two weeks"/>
      </sharedItems>
    </cacheField>
    <cacheField name="What makes you decide to order with us?" numFmtId="0">
      <sharedItems count="7" longText="1">
        <s v="Free Wifi"/>
        <s v="Reliability"/>
        <s v="Menu choices"/>
        <s v="Time-efficient"/>
        <s v="Your brownies weren't bad"/>
        <s v="There have been forever chemicals found in your beverages that negatively impact human health. I would rather save money and make coffee at home or go to a local cafe. Your company has stated that price increases are due to the &quot;Starbucks experience&quot; but honestly? The experience is drinking sugary milk with a $9 price tag. I wish you would go bankrupt.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d v="2026-10-16T03:29:05"/>
    <d v="2026-10-16T03:29:45"/>
    <d v="1899-12-30T00:00:40"/>
    <x v="0"/>
    <s v="earl lacerna"/>
    <x v="0"/>
    <x v="0"/>
    <x v="0"/>
    <x v="0"/>
  </r>
  <r>
    <x v="1"/>
    <d v="2026-10-16T06:19:59"/>
    <d v="2026-10-16T06:20:30"/>
    <d v="1899-12-30T00:00:31"/>
    <x v="1"/>
    <s v="clarissa ortega"/>
    <x v="1"/>
    <x v="1"/>
    <x v="1"/>
    <x v="1"/>
  </r>
  <r>
    <x v="2"/>
    <d v="2026-10-16T08:08:04"/>
    <d v="2026-10-16T08:08:20"/>
    <d v="1899-12-30T00:00:16"/>
    <x v="2"/>
    <s v="angelo deala"/>
    <x v="2"/>
    <x v="2"/>
    <x v="0"/>
    <x v="2"/>
  </r>
  <r>
    <x v="3"/>
    <d v="2026-10-16T09:25:18"/>
    <d v="2026-10-16T09:25:48"/>
    <d v="1899-12-30T00:00:30"/>
    <x v="3"/>
    <s v="jden smith"/>
    <x v="3"/>
    <x v="2"/>
    <x v="2"/>
    <x v="2"/>
  </r>
  <r>
    <x v="4"/>
    <d v="2026-10-16T10:51:26"/>
    <d v="2026-10-16T10:51:44"/>
    <d v="1899-12-30T00:00:18"/>
    <x v="4"/>
    <s v="maceo lujan"/>
    <x v="4"/>
    <x v="0"/>
    <x v="0"/>
    <x v="1"/>
  </r>
  <r>
    <x v="5"/>
    <d v="2026-10-16T10:53:51"/>
    <d v="2026-10-16T10:54:16"/>
    <d v="1899-12-30T00:00:25"/>
    <x v="5"/>
    <s v="kevin pham"/>
    <x v="1"/>
    <x v="2"/>
    <x v="2"/>
    <x v="3"/>
  </r>
  <r>
    <x v="6"/>
    <d v="2026-10-16T11:14:51"/>
    <d v="2026-10-16T11:16:08"/>
    <d v="1899-12-30T00:01:17"/>
    <x v="6"/>
    <s v="gabriel thomas"/>
    <x v="3"/>
    <x v="2"/>
    <x v="2"/>
    <x v="4"/>
  </r>
  <r>
    <x v="7"/>
    <d v="2026-10-16T13:23:31"/>
    <d v="2026-10-16T13:25:25"/>
    <d v="1899-12-30T00:01:54"/>
    <x v="7"/>
    <s v="emma zazueta"/>
    <x v="3"/>
    <x v="2"/>
    <x v="2"/>
    <x v="5"/>
  </r>
  <r>
    <x v="8"/>
    <d v="2026-10-16T13:38:02"/>
    <d v="2026-10-16T13:38:38"/>
    <d v="1899-12-30T00:00:36"/>
    <x v="8"/>
    <s v="marcos filho"/>
    <x v="0"/>
    <x v="1"/>
    <x v="3"/>
    <x v="2"/>
  </r>
  <r>
    <x v="9"/>
    <d v="2026-10-16T13:55:18"/>
    <d v="2026-10-16T13:56:01"/>
    <d v="1899-12-30T00:00:43"/>
    <x v="9"/>
    <s v="arnel soriano"/>
    <x v="3"/>
    <x v="2"/>
    <x v="2"/>
    <x v="6"/>
  </r>
  <r>
    <x v="10"/>
    <d v="2026-10-16T13:57:19"/>
    <d v="2026-10-16T13:58:13"/>
    <d v="1899-12-30T00:00:54"/>
    <x v="10"/>
    <s v="laden osman"/>
    <x v="0"/>
    <x v="1"/>
    <x v="4"/>
    <x v="3"/>
  </r>
  <r>
    <x v="11"/>
    <d v="2026-10-16T14:53:44"/>
    <d v="2026-10-16T14:54:19"/>
    <d v="1899-12-30T00:00:35"/>
    <x v="0"/>
    <s v="earl lacerna"/>
    <x v="4"/>
    <x v="0"/>
    <x v="1"/>
    <x v="2"/>
  </r>
  <r>
    <x v="12"/>
    <d v="2026-10-16T15:27:26"/>
    <d v="2026-10-16T15:28:48"/>
    <d v="1899-12-30T00:01:22"/>
    <x v="11"/>
    <s v="allison hernandez"/>
    <x v="2"/>
    <x v="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D4125-DE6D-4E97-83B1-C725DE8A7C9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E11" firstHeaderRow="1" firstDataRow="2" firstDataCol="1"/>
  <pivotFields count="10"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numFmtId="164" showAll="0"/>
    <pivotField numFmtId="164" showAll="0"/>
    <pivotField showAll="0">
      <items count="13">
        <item x="2"/>
        <item x="11"/>
        <item x="9"/>
        <item x="1"/>
        <item x="0"/>
        <item x="7"/>
        <item x="6"/>
        <item x="3"/>
        <item x="5"/>
        <item x="10"/>
        <item x="8"/>
        <item x="4"/>
        <item t="default"/>
      </items>
    </pivotField>
    <pivotField showAll="0"/>
    <pivotField showAll="0"/>
    <pivotField axis="axisCol" showAll="0" sortType="descending">
      <items count="4">
        <item x="0"/>
        <item x="2"/>
        <item x="1"/>
        <item t="default"/>
      </items>
    </pivotField>
    <pivotField axis="axisRow" showAll="0" sortType="ascending">
      <items count="6">
        <item x="4"/>
        <item x="3"/>
        <item x="1"/>
        <item x="2"/>
        <item x="0"/>
        <item t="default"/>
      </items>
    </pivotField>
    <pivotField showAll="0">
      <items count="8">
        <item x="0"/>
        <item x="2"/>
        <item x="6"/>
        <item x="1"/>
        <item x="5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Id" fld="0" baseField="0" baseItem="0"/>
  </dataFields>
  <chartFormats count="3">
    <chartFormat chart="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5" totalsRowCount="1">
  <autoFilter ref="A1:J14" xr:uid="{00000000-0009-0000-0100-000001000000}"/>
  <tableColumns count="10">
    <tableColumn id="1" xr3:uid="{00000000-0010-0000-0000-000001000000}" name="Id" dataDxfId="12" totalsRow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0" totalsRow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0" xr3:uid="{0D89B67C-52A8-4171-8B5D-C19252A768E6}" name="Time To Complete2" dataDxfId="0" totalsRowDxfId="1">
      <calculatedColumnFormula>C2-B2</calculatedColumnFormula>
    </tableColumn>
    <tableColumn id="4" xr3:uid="{00000000-0010-0000-0000-000004000000}" name="Email" dataDxfId="11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Rate how much you enjoy Starbucks" dataDxfId="16">
      <extLst>
        <ext xmlns:xlmsforms="http://schemas.microsoft.com/office/spreadsheetml/2023/msForms" uri="{FCC71383-01E1-4257-9335-427F07BE8D7F}">
          <xlmsforms:question id="r1fabc4728ae74f6799d2761f4803c568"/>
        </ext>
      </extLst>
    </tableColumn>
    <tableColumn id="7" xr3:uid="{00000000-0010-0000-0000-000007000000}" name="How much do you usually spend when you order?" dataDxfId="15" totalsRowDxfId="5">
      <extLst>
        <ext xmlns:xlmsforms="http://schemas.microsoft.com/office/spreadsheetml/2023/msForms" uri="{FCC71383-01E1-4257-9335-427F07BE8D7F}">
          <xlmsforms:question id="red29c6827bef40d2bc26608a01d943a3"/>
        </ext>
      </extLst>
    </tableColumn>
    <tableColumn id="8" xr3:uid="{00000000-0010-0000-0000-000008000000}" name="How often do you order at starbucks?" dataDxfId="14" totalsRowDxfId="4">
      <extLst>
        <ext xmlns:xlmsforms="http://schemas.microsoft.com/office/spreadsheetml/2023/msForms" uri="{FCC71383-01E1-4257-9335-427F07BE8D7F}">
          <xlmsforms:question id="rb7f10451a0fc4676b5e5837968846ff9"/>
        </ext>
      </extLst>
    </tableColumn>
    <tableColumn id="9" xr3:uid="{00000000-0010-0000-0000-000009000000}" name="What makes you decide to order with us?" dataDxfId="13" totalsRowDxfId="3">
      <extLst>
        <ext xmlns:xlmsforms="http://schemas.microsoft.com/office/spreadsheetml/2023/msForms" uri="{FCC71383-01E1-4257-9335-427F07BE8D7F}">
          <xlmsforms:question id="r46e1eeef41a0468c86d2c741238dc48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wGY26OY4lpDiTela3FuFo1UMDVSMDRJMTBRRjZCVDczMEQ5MVRDMEQ2RC4u" isFormConnected="1" maxResponseId="13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r1fabc4728ae74f6799d2761f4803c568</xlmsforms:syncedQuestionId>
        <xlmsforms:syncedQuestionId>red29c6827bef40d2bc26608a01d943a3</xlmsforms:syncedQuestionId>
        <xlmsforms:syncedQuestionId>rb7f10451a0fc4676b5e5837968846ff9</xlmsforms:syncedQuestionId>
        <xlmsforms:syncedQuestionId>r46e1eeef41a0468c86d2c741238dc48e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acerna@my.yearupunited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A16" sqref="A16"/>
    </sheetView>
  </sheetViews>
  <sheetFormatPr defaultRowHeight="14.5" x14ac:dyDescent="0.35"/>
  <cols>
    <col min="1" max="1" width="26.36328125" customWidth="1"/>
    <col min="2" max="4" width="20" bestFit="1" customWidth="1"/>
    <col min="5" max="6" width="20" customWidth="1"/>
    <col min="7" max="7" width="20.81640625" customWidth="1"/>
    <col min="8" max="8" width="20" bestFit="1" customWidth="1"/>
    <col min="9" max="10" width="61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s="1">
        <v>46311.145196759258</v>
      </c>
      <c r="C2" s="1">
        <v>46311.14565972222</v>
      </c>
      <c r="D2" s="1">
        <f t="shared" ref="D2:D14" si="0">C2-B2</f>
        <v>4.6296296204673126E-4</v>
      </c>
      <c r="E2" s="5" t="s">
        <v>9</v>
      </c>
      <c r="F2" t="s">
        <v>10</v>
      </c>
      <c r="G2">
        <v>5</v>
      </c>
      <c r="H2" t="s">
        <v>11</v>
      </c>
      <c r="I2" t="s">
        <v>12</v>
      </c>
      <c r="J2" t="s">
        <v>13</v>
      </c>
    </row>
    <row r="3" spans="1:10" x14ac:dyDescent="0.35">
      <c r="A3">
        <v>2</v>
      </c>
      <c r="B3" s="1">
        <v>46311.263877314814</v>
      </c>
      <c r="C3" s="1">
        <v>46311.264236111114</v>
      </c>
      <c r="D3" s="1">
        <f t="shared" si="0"/>
        <v>3.5879630013369024E-4</v>
      </c>
      <c r="E3" t="s">
        <v>14</v>
      </c>
      <c r="F3" t="s">
        <v>15</v>
      </c>
      <c r="G3">
        <v>2</v>
      </c>
      <c r="H3" t="s">
        <v>16</v>
      </c>
      <c r="I3" t="s">
        <v>17</v>
      </c>
      <c r="J3" t="s">
        <v>18</v>
      </c>
    </row>
    <row r="4" spans="1:10" x14ac:dyDescent="0.35">
      <c r="A4">
        <v>3</v>
      </c>
      <c r="B4" s="1">
        <v>46311.338935185187</v>
      </c>
      <c r="C4" s="1">
        <v>46311.339120370372</v>
      </c>
      <c r="D4" s="1">
        <f t="shared" si="0"/>
        <v>1.8518518481869251E-4</v>
      </c>
      <c r="E4" t="s">
        <v>19</v>
      </c>
      <c r="F4" t="s">
        <v>20</v>
      </c>
      <c r="G4">
        <v>4</v>
      </c>
      <c r="H4" t="s">
        <v>21</v>
      </c>
      <c r="I4" t="s">
        <v>12</v>
      </c>
      <c r="J4" t="s">
        <v>22</v>
      </c>
    </row>
    <row r="5" spans="1:10" x14ac:dyDescent="0.35">
      <c r="A5">
        <v>4</v>
      </c>
      <c r="B5" s="1">
        <v>46311.392569444448</v>
      </c>
      <c r="C5" s="1">
        <v>46311.392916666664</v>
      </c>
      <c r="D5" s="1">
        <f t="shared" si="0"/>
        <v>3.4722221607808024E-4</v>
      </c>
      <c r="E5" t="s">
        <v>23</v>
      </c>
      <c r="F5" t="s">
        <v>24</v>
      </c>
      <c r="G5">
        <v>1</v>
      </c>
      <c r="H5" t="s">
        <v>21</v>
      </c>
      <c r="I5" t="s">
        <v>25</v>
      </c>
      <c r="J5" t="s">
        <v>22</v>
      </c>
    </row>
    <row r="6" spans="1:10" x14ac:dyDescent="0.35">
      <c r="A6">
        <v>5</v>
      </c>
      <c r="B6" s="1">
        <v>46311.452384259261</v>
      </c>
      <c r="C6" s="1">
        <v>46311.452592592592</v>
      </c>
      <c r="D6" s="1">
        <f t="shared" si="0"/>
        <v>2.0833333110203966E-4</v>
      </c>
      <c r="E6" t="s">
        <v>26</v>
      </c>
      <c r="F6" t="s">
        <v>27</v>
      </c>
      <c r="G6">
        <v>3</v>
      </c>
      <c r="H6" t="s">
        <v>11</v>
      </c>
      <c r="I6" t="s">
        <v>12</v>
      </c>
      <c r="J6" t="s">
        <v>18</v>
      </c>
    </row>
    <row r="7" spans="1:10" x14ac:dyDescent="0.35">
      <c r="A7">
        <v>6</v>
      </c>
      <c r="B7" s="1">
        <v>46311.454062500001</v>
      </c>
      <c r="C7" s="1">
        <v>46311.454351851855</v>
      </c>
      <c r="D7" s="1">
        <f t="shared" si="0"/>
        <v>2.8935185400769114E-4</v>
      </c>
      <c r="E7" t="s">
        <v>28</v>
      </c>
      <c r="F7" t="s">
        <v>29</v>
      </c>
      <c r="G7">
        <v>2</v>
      </c>
      <c r="H7" t="s">
        <v>21</v>
      </c>
      <c r="I7" t="s">
        <v>25</v>
      </c>
      <c r="J7" t="s">
        <v>30</v>
      </c>
    </row>
    <row r="8" spans="1:10" x14ac:dyDescent="0.35">
      <c r="A8">
        <v>7</v>
      </c>
      <c r="B8" s="1">
        <v>46311.468645833331</v>
      </c>
      <c r="C8" s="1">
        <v>46311.469537037039</v>
      </c>
      <c r="D8" s="1">
        <f t="shared" si="0"/>
        <v>8.9120370830642059E-4</v>
      </c>
      <c r="E8" t="s">
        <v>31</v>
      </c>
      <c r="F8" t="s">
        <v>32</v>
      </c>
      <c r="G8">
        <v>1</v>
      </c>
      <c r="H8" t="s">
        <v>21</v>
      </c>
      <c r="I8" t="s">
        <v>25</v>
      </c>
      <c r="J8" t="s">
        <v>33</v>
      </c>
    </row>
    <row r="9" spans="1:10" x14ac:dyDescent="0.35">
      <c r="A9">
        <v>8</v>
      </c>
      <c r="B9" s="1">
        <v>46311.557997685188</v>
      </c>
      <c r="C9" s="1">
        <v>46311.559317129628</v>
      </c>
      <c r="D9" s="1">
        <f t="shared" si="0"/>
        <v>1.3194444400141947E-3</v>
      </c>
      <c r="E9" t="s">
        <v>34</v>
      </c>
      <c r="F9" t="s">
        <v>35</v>
      </c>
      <c r="G9">
        <v>1</v>
      </c>
      <c r="H9" t="s">
        <v>21</v>
      </c>
      <c r="I9" t="s">
        <v>25</v>
      </c>
      <c r="J9" t="s">
        <v>36</v>
      </c>
    </row>
    <row r="10" spans="1:10" x14ac:dyDescent="0.35">
      <c r="A10">
        <v>9</v>
      </c>
      <c r="B10" s="1">
        <v>46311.568078703705</v>
      </c>
      <c r="C10" s="1">
        <v>46311.568495370368</v>
      </c>
      <c r="D10" s="1">
        <f t="shared" si="0"/>
        <v>4.1666666220407933E-4</v>
      </c>
      <c r="E10" t="s">
        <v>37</v>
      </c>
      <c r="F10" t="s">
        <v>38</v>
      </c>
      <c r="G10">
        <v>5</v>
      </c>
      <c r="H10" t="s">
        <v>16</v>
      </c>
      <c r="I10" t="s">
        <v>39</v>
      </c>
      <c r="J10" t="s">
        <v>22</v>
      </c>
    </row>
    <row r="11" spans="1:10" x14ac:dyDescent="0.35">
      <c r="A11">
        <v>10</v>
      </c>
      <c r="B11" s="1">
        <v>46311.580069444448</v>
      </c>
      <c r="C11" s="1">
        <v>46311.580567129633</v>
      </c>
      <c r="D11" s="1">
        <f t="shared" si="0"/>
        <v>4.9768518510973081E-4</v>
      </c>
      <c r="E11" t="s">
        <v>40</v>
      </c>
      <c r="F11" t="s">
        <v>41</v>
      </c>
      <c r="G11">
        <v>1</v>
      </c>
      <c r="H11" t="s">
        <v>21</v>
      </c>
      <c r="I11" t="s">
        <v>25</v>
      </c>
      <c r="J11" t="s">
        <v>42</v>
      </c>
    </row>
    <row r="12" spans="1:10" x14ac:dyDescent="0.35">
      <c r="A12">
        <v>11</v>
      </c>
      <c r="B12" s="1">
        <v>46311.581469907411</v>
      </c>
      <c r="C12" s="1">
        <v>46311.582094907404</v>
      </c>
      <c r="D12" s="1">
        <f t="shared" si="0"/>
        <v>6.2499999330611899E-4</v>
      </c>
      <c r="E12" t="s">
        <v>43</v>
      </c>
      <c r="F12" t="s">
        <v>44</v>
      </c>
      <c r="G12">
        <v>5</v>
      </c>
      <c r="H12" t="s">
        <v>16</v>
      </c>
      <c r="I12" t="s">
        <v>45</v>
      </c>
      <c r="J12" t="s">
        <v>30</v>
      </c>
    </row>
    <row r="13" spans="1:10" x14ac:dyDescent="0.35">
      <c r="A13">
        <v>12</v>
      </c>
      <c r="B13" s="1">
        <v>46311.620648148149</v>
      </c>
      <c r="C13" s="1">
        <v>46311.621053240742</v>
      </c>
      <c r="D13" s="1">
        <f t="shared" si="0"/>
        <v>4.0509259270038456E-4</v>
      </c>
      <c r="E13" t="s">
        <v>9</v>
      </c>
      <c r="F13" t="s">
        <v>10</v>
      </c>
      <c r="G13">
        <v>3</v>
      </c>
      <c r="H13" t="s">
        <v>11</v>
      </c>
      <c r="I13" t="s">
        <v>17</v>
      </c>
      <c r="J13" t="s">
        <v>22</v>
      </c>
    </row>
    <row r="14" spans="1:10" x14ac:dyDescent="0.35">
      <c r="A14">
        <v>13</v>
      </c>
      <c r="B14" s="1">
        <v>46311.644050925926</v>
      </c>
      <c r="C14" s="1">
        <v>46311.644999999997</v>
      </c>
      <c r="D14" s="1">
        <f t="shared" si="0"/>
        <v>9.4907407037680969E-4</v>
      </c>
      <c r="E14" t="s">
        <v>46</v>
      </c>
      <c r="F14" t="s">
        <v>47</v>
      </c>
      <c r="G14">
        <v>4</v>
      </c>
      <c r="H14" t="s">
        <v>11</v>
      </c>
      <c r="I14" t="s">
        <v>45</v>
      </c>
      <c r="J14" t="s">
        <v>22</v>
      </c>
    </row>
    <row r="15" spans="1:10" x14ac:dyDescent="0.35">
      <c r="A15" s="2"/>
      <c r="C15" s="1"/>
      <c r="D15" s="1"/>
      <c r="E15" s="3"/>
      <c r="F15" s="3"/>
      <c r="H15" s="3"/>
      <c r="I15" s="3"/>
      <c r="J15" s="3"/>
    </row>
    <row r="16" spans="1:10" x14ac:dyDescent="0.35">
      <c r="A16" s="9" t="s">
        <v>55</v>
      </c>
    </row>
    <row r="17" spans="1:7" x14ac:dyDescent="0.35">
      <c r="A17" s="6">
        <f>AVERAGE(G2:G14)</f>
        <v>2.8461538461538463</v>
      </c>
      <c r="B17" s="4"/>
    </row>
    <row r="19" spans="1:7" x14ac:dyDescent="0.35">
      <c r="A19" s="7" t="s">
        <v>49</v>
      </c>
    </row>
    <row r="20" spans="1:7" x14ac:dyDescent="0.35">
      <c r="A20" s="7">
        <f>COUNTIF(I2:I14,"Never")</f>
        <v>5</v>
      </c>
    </row>
    <row r="22" spans="1:7" x14ac:dyDescent="0.35">
      <c r="A22" s="7" t="s">
        <v>50</v>
      </c>
      <c r="G22">
        <f>SUM(COUNTIF(I2:I14,"Never"),COUNTIF(I2:I14,"Monthly"))</f>
        <v>7</v>
      </c>
    </row>
    <row r="23" spans="1:7" x14ac:dyDescent="0.35">
      <c r="A23">
        <v>7</v>
      </c>
    </row>
    <row r="27" spans="1:7" x14ac:dyDescent="0.35">
      <c r="F27" s="1"/>
    </row>
    <row r="28" spans="1:7" x14ac:dyDescent="0.35">
      <c r="F28" s="1"/>
    </row>
    <row r="29" spans="1:7" x14ac:dyDescent="0.35">
      <c r="F29" s="1"/>
    </row>
    <row r="30" spans="1:7" x14ac:dyDescent="0.35">
      <c r="F30" s="1"/>
    </row>
    <row r="31" spans="1:7" x14ac:dyDescent="0.35">
      <c r="F31" s="1"/>
    </row>
    <row r="32" spans="1:7" x14ac:dyDescent="0.35">
      <c r="F32" s="1"/>
    </row>
    <row r="33" spans="6:6" x14ac:dyDescent="0.35">
      <c r="F33" s="1"/>
    </row>
    <row r="34" spans="6:6" x14ac:dyDescent="0.35">
      <c r="F34" s="1"/>
    </row>
    <row r="35" spans="6:6" x14ac:dyDescent="0.35">
      <c r="F35" s="1"/>
    </row>
    <row r="36" spans="6:6" x14ac:dyDescent="0.35">
      <c r="F36" s="1"/>
    </row>
    <row r="37" spans="6:6" x14ac:dyDescent="0.35">
      <c r="F37" s="1"/>
    </row>
    <row r="38" spans="6:6" x14ac:dyDescent="0.35">
      <c r="F38" s="1"/>
    </row>
    <row r="39" spans="6:6" x14ac:dyDescent="0.35">
      <c r="F39" s="1"/>
    </row>
    <row r="40" spans="6:6" x14ac:dyDescent="0.35">
      <c r="F40" s="1"/>
    </row>
    <row r="41" spans="6:6" x14ac:dyDescent="0.35">
      <c r="F41" s="1"/>
    </row>
  </sheetData>
  <hyperlinks>
    <hyperlink ref="E2" r:id="rId1" xr:uid="{1EB6675B-7176-4FD0-B7AD-64F0B5A2308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1CDC-F0FF-4F6A-8457-8540CCE34FCA}">
  <dimension ref="A4:E11"/>
  <sheetViews>
    <sheetView zoomScale="85" zoomScaleNormal="85" workbookViewId="0">
      <selection activeCell="E9" sqref="E9"/>
    </sheetView>
  </sheetViews>
  <sheetFormatPr defaultRowHeight="14.5" x14ac:dyDescent="0.35"/>
  <cols>
    <col min="1" max="1" width="15.6328125" bestFit="1" customWidth="1"/>
    <col min="2" max="2" width="15.81640625" bestFit="1" customWidth="1"/>
    <col min="3" max="3" width="8.7265625" bestFit="1" customWidth="1"/>
    <col min="4" max="4" width="13.26953125" bestFit="1" customWidth="1"/>
    <col min="5" max="5" width="10.81640625" bestFit="1" customWidth="1"/>
    <col min="6" max="10" width="2" bestFit="1" customWidth="1"/>
    <col min="11" max="14" width="3.08984375" bestFit="1" customWidth="1"/>
    <col min="15" max="15" width="10.81640625" bestFit="1" customWidth="1"/>
    <col min="16" max="16" width="8.7265625" bestFit="1" customWidth="1"/>
    <col min="17" max="17" width="6.7265625" bestFit="1" customWidth="1"/>
    <col min="18" max="18" width="13.26953125" bestFit="1" customWidth="1"/>
    <col min="19" max="19" width="6.7265625" bestFit="1" customWidth="1"/>
    <col min="21" max="21" width="7.81640625" bestFit="1" customWidth="1"/>
    <col min="22" max="22" width="13.26953125" bestFit="1" customWidth="1"/>
    <col min="23" max="23" width="7.81640625" bestFit="1" customWidth="1"/>
    <col min="24" max="24" width="6.90625" bestFit="1" customWidth="1"/>
    <col min="25" max="25" width="7.81640625" bestFit="1" customWidth="1"/>
    <col min="26" max="26" width="6.90625" bestFit="1" customWidth="1"/>
    <col min="27" max="27" width="7.81640625" bestFit="1" customWidth="1"/>
    <col min="28" max="28" width="10.81640625" bestFit="1" customWidth="1"/>
  </cols>
  <sheetData>
    <row r="4" spans="1:5" x14ac:dyDescent="0.35">
      <c r="A4" s="8" t="s">
        <v>54</v>
      </c>
      <c r="B4" s="8" t="s">
        <v>53</v>
      </c>
    </row>
    <row r="5" spans="1:5" x14ac:dyDescent="0.35">
      <c r="A5" s="8" t="s">
        <v>51</v>
      </c>
      <c r="B5" t="s">
        <v>11</v>
      </c>
      <c r="C5" t="s">
        <v>21</v>
      </c>
      <c r="D5" t="s">
        <v>16</v>
      </c>
      <c r="E5" t="s">
        <v>52</v>
      </c>
    </row>
    <row r="6" spans="1:5" x14ac:dyDescent="0.35">
      <c r="A6" s="6" t="s">
        <v>45</v>
      </c>
      <c r="B6" s="2">
        <v>13</v>
      </c>
      <c r="C6" s="2"/>
      <c r="D6" s="2">
        <v>11</v>
      </c>
      <c r="E6" s="2">
        <v>24</v>
      </c>
    </row>
    <row r="7" spans="1:5" x14ac:dyDescent="0.35">
      <c r="A7" s="6" t="s">
        <v>39</v>
      </c>
      <c r="B7" s="2"/>
      <c r="C7" s="2"/>
      <c r="D7" s="2">
        <v>9</v>
      </c>
      <c r="E7" s="2">
        <v>9</v>
      </c>
    </row>
    <row r="8" spans="1:5" x14ac:dyDescent="0.35">
      <c r="A8" s="6" t="s">
        <v>17</v>
      </c>
      <c r="B8" s="2">
        <v>12</v>
      </c>
      <c r="C8" s="2"/>
      <c r="D8" s="2">
        <v>2</v>
      </c>
      <c r="E8" s="2">
        <v>14</v>
      </c>
    </row>
    <row r="9" spans="1:5" x14ac:dyDescent="0.35">
      <c r="A9" s="6" t="s">
        <v>25</v>
      </c>
      <c r="B9" s="2"/>
      <c r="C9" s="2">
        <v>35</v>
      </c>
      <c r="D9" s="2"/>
      <c r="E9" s="2">
        <v>35</v>
      </c>
    </row>
    <row r="10" spans="1:5" x14ac:dyDescent="0.35">
      <c r="A10" s="6" t="s">
        <v>12</v>
      </c>
      <c r="B10" s="2">
        <v>6</v>
      </c>
      <c r="C10" s="2">
        <v>3</v>
      </c>
      <c r="D10" s="2"/>
      <c r="E10" s="2">
        <v>9</v>
      </c>
    </row>
    <row r="11" spans="1:5" x14ac:dyDescent="0.35">
      <c r="A11" s="6" t="s">
        <v>52</v>
      </c>
      <c r="B11" s="2">
        <v>31</v>
      </c>
      <c r="C11" s="2">
        <v>38</v>
      </c>
      <c r="D11" s="2">
        <v>22</v>
      </c>
      <c r="E11" s="2">
        <v>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earl lacerna</cp:lastModifiedBy>
  <cp:revision/>
  <dcterms:created xsi:type="dcterms:W3CDTF">2026-10-17T01:23:41Z</dcterms:created>
  <dcterms:modified xsi:type="dcterms:W3CDTF">2026-10-17T03:09:50Z</dcterms:modified>
  <cp:category/>
  <cp:contentStatus/>
</cp:coreProperties>
</file>