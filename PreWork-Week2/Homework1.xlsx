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1"/>
  <workbookPr defaultThemeVersion="166925"/>
  <xr:revisionPtr revIDLastSave="0" documentId="8_{101B9CDC-A8BA-4BA5-8FBA-B61D63A56F35}" xr6:coauthVersionLast="47" xr6:coauthVersionMax="47" xr10:uidLastSave="{00000000-0000-0000-0000-000000000000}"/>
  <bookViews>
    <workbookView xWindow="240" yWindow="105" windowWidth="14805" windowHeight="8010" activeTab="1" xr2:uid="{00000000-000D-0000-FFFF-FFFF00000000}"/>
  </bookViews>
  <sheets>
    <sheet name="Store_Data" sheetId="1" r:id="rId1"/>
    <sheet name="Store_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6" i="1" l="1"/>
  <c r="E5" i="1"/>
  <c r="D6" i="1"/>
  <c r="E4" i="1"/>
  <c r="E3" i="1"/>
  <c r="E2" i="1"/>
  <c r="D5" i="1"/>
  <c r="D4" i="1"/>
  <c r="D3" i="1"/>
  <c r="D2" i="1"/>
</calcChain>
</file>

<file path=xl/sharedStrings.xml><?xml version="1.0" encoding="utf-8"?>
<sst xmlns="http://schemas.openxmlformats.org/spreadsheetml/2006/main" count="23" uniqueCount="23">
  <si>
    <t>Stores</t>
  </si>
  <si>
    <t>Monthly Sales</t>
  </si>
  <si>
    <t>With H</t>
  </si>
  <si>
    <t>Without H</t>
  </si>
  <si>
    <t>A</t>
  </si>
  <si>
    <t>Mean</t>
  </si>
  <si>
    <t>B</t>
  </si>
  <si>
    <t>Median</t>
  </si>
  <si>
    <t>C</t>
  </si>
  <si>
    <t>Mode</t>
  </si>
  <si>
    <t>D</t>
  </si>
  <si>
    <t>Range</t>
  </si>
  <si>
    <t>E</t>
  </si>
  <si>
    <t>Standard deviation</t>
  </si>
  <si>
    <t>F</t>
  </si>
  <si>
    <t>G</t>
  </si>
  <si>
    <t>H</t>
  </si>
  <si>
    <t>I</t>
  </si>
  <si>
    <t>J</t>
  </si>
  <si>
    <t>K</t>
  </si>
  <si>
    <t>L</t>
  </si>
  <si>
    <t>Store Summary</t>
  </si>
  <si>
    <t xml:space="preserve">The overall average with store H and without H doesn’t look much different. Looking at the average between the 2 the numbers almost looked the same and didn’t seem too far off. For store performance I would say it is spread out if we’re including the store H. In fact, it’s mostly the store H that made the standard deviation spread out because when we checked if the standard deviation without store H the number came out way lower than the one with store H. One value that significantly influence the results of how spread out the data is Branch H, the number of sales in this store is noticeably higher than the rest of the other stores. The other branch stays within the 40’s-50’s and this one went all the way to 70’s which tells that it noticeably outperformed the rest. An additional information I would want to know is whether is it the staff, the location, or stock they have that set the store H apart from the other store, what makes this store perform better?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</si>
</sst>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workbookViewId="0">
      <selection activeCell="C6" sqref="C6"/>
    </sheetView>
  </sheetViews>
  <sheetFormatPr defaultRowHeight="15"/>
  <cols>
    <col min="2" max="2" width="15.140625" customWidth="1"/>
    <col min="3" max="3" width="16.7109375" customWidth="1"/>
    <col min="5" max="5" width="10.28515625" customWidth="1"/>
  </cols>
  <sheetData>
    <row r="1" spans="1:5">
      <c r="A1" t="s">
        <v>0</v>
      </c>
      <c r="B1" t="s">
        <v>1</v>
      </c>
      <c r="D1" s="1" t="s">
        <v>2</v>
      </c>
      <c r="E1" s="1" t="s">
        <v>3</v>
      </c>
    </row>
    <row r="2" spans="1:5">
      <c r="A2" t="s">
        <v>4</v>
      </c>
      <c r="B2">
        <v>51</v>
      </c>
      <c r="C2" s="1" t="s">
        <v>5</v>
      </c>
      <c r="D2">
        <f>AVERAGE(B2:B13)</f>
        <v>49.416666666666664</v>
      </c>
      <c r="E2">
        <f>AVERAGE(B2:B8,B10:B13)</f>
        <v>47.363636363636367</v>
      </c>
    </row>
    <row r="3" spans="1:5">
      <c r="A3" t="s">
        <v>6</v>
      </c>
      <c r="B3">
        <v>44</v>
      </c>
      <c r="C3" s="1" t="s">
        <v>7</v>
      </c>
      <c r="D3">
        <f>MEDIAN(B2:B13)</f>
        <v>47.5</v>
      </c>
      <c r="E3">
        <f>MEDIAN(B2:B8,B10:B13)</f>
        <v>47</v>
      </c>
    </row>
    <row r="4" spans="1:5">
      <c r="A4" t="s">
        <v>8</v>
      </c>
      <c r="B4">
        <v>49</v>
      </c>
      <c r="C4" s="1" t="s">
        <v>9</v>
      </c>
      <c r="D4">
        <f>MODE(B2:B13)</f>
        <v>46</v>
      </c>
      <c r="E4">
        <f>MODE(B2:B8,B10:B13)</f>
        <v>46</v>
      </c>
    </row>
    <row r="5" spans="1:5">
      <c r="A5" t="s">
        <v>10</v>
      </c>
      <c r="B5">
        <v>46</v>
      </c>
      <c r="C5" s="1" t="s">
        <v>11</v>
      </c>
      <c r="D5">
        <f>MAX(B2:B13)-MIN(B2:B13)</f>
        <v>29</v>
      </c>
      <c r="E5">
        <f>MAX(B2:B8,B10:B13)-MIN(B2:B8,B10:B13)</f>
        <v>9</v>
      </c>
    </row>
    <row r="6" spans="1:5">
      <c r="A6" t="s">
        <v>12</v>
      </c>
      <c r="B6">
        <v>52</v>
      </c>
      <c r="C6" s="1" t="s">
        <v>13</v>
      </c>
      <c r="D6">
        <f>_xlfn.STDEV.S(B2:B13)</f>
        <v>7.6331613054586773</v>
      </c>
      <c r="E6">
        <f>_xlfn.STDEV.S(B2:B8,B10:B13)</f>
        <v>2.9076701075853588</v>
      </c>
    </row>
    <row r="7" spans="1:5">
      <c r="A7" t="s">
        <v>14</v>
      </c>
      <c r="B7">
        <v>47</v>
      </c>
    </row>
    <row r="8" spans="1:5">
      <c r="A8" t="s">
        <v>15</v>
      </c>
      <c r="B8">
        <v>45</v>
      </c>
    </row>
    <row r="9" spans="1:5">
      <c r="A9" t="s">
        <v>16</v>
      </c>
      <c r="B9">
        <v>72</v>
      </c>
    </row>
    <row r="10" spans="1:5">
      <c r="A10" t="s">
        <v>17</v>
      </c>
      <c r="B10">
        <v>43</v>
      </c>
    </row>
    <row r="11" spans="1:5">
      <c r="A11" t="s">
        <v>18</v>
      </c>
      <c r="B11">
        <v>48</v>
      </c>
    </row>
    <row r="12" spans="1:5">
      <c r="A12" t="s">
        <v>19</v>
      </c>
      <c r="B12">
        <v>46</v>
      </c>
    </row>
    <row r="13" spans="1:5">
      <c r="A13" t="s">
        <v>20</v>
      </c>
      <c r="B13">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BDA1F-DC6B-4A28-96AA-2ACD7292D49F}">
  <dimension ref="A1:A3"/>
  <sheetViews>
    <sheetView tabSelected="1" workbookViewId="0">
      <selection activeCell="A4" sqref="A4"/>
    </sheetView>
  </sheetViews>
  <sheetFormatPr defaultRowHeight="15"/>
  <cols>
    <col min="1" max="1" width="60" customWidth="1"/>
  </cols>
  <sheetData>
    <row r="1" spans="1:1">
      <c r="A1" s="2" t="s">
        <v>21</v>
      </c>
    </row>
    <row r="3" spans="1:1" ht="229.5">
      <c r="A3" s="3"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2026-10-03T10:22:03Z</dcterms:created>
  <dcterms:modified xsi:type="dcterms:W3CDTF">2026-10-03T21:38:08Z</dcterms:modified>
  <cp:category/>
  <cp:contentStatus/>
</cp:coreProperties>
</file>